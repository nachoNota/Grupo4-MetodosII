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=1" sheetId="1" r:id="rId5"/>
    <sheet state="visible" name="P=2" sheetId="2" r:id="rId6"/>
    <sheet state="visible" name="P=4" sheetId="3" r:id="rId7"/>
    <sheet state="visible" name="P=8" sheetId="4" r:id="rId8"/>
    <sheet state="visible" name="P=12" sheetId="5" r:id="rId9"/>
    <sheet state="visible" name="P=16" sheetId="6" r:id="rId10"/>
    <sheet state="visible" name="Cl1" sheetId="7" r:id="rId11"/>
    <sheet state="visible" name="Hoja 2" sheetId="8" r:id="rId12"/>
    <sheet state="visible" name="N=1e3" sheetId="9" r:id="rId13"/>
    <sheet state="visible" name="N=1e4" sheetId="10" r:id="rId14"/>
    <sheet state="visible" name="N=1e5" sheetId="11" r:id="rId15"/>
    <sheet state="visible" name="N=1e6" sheetId="12" r:id="rId16"/>
    <sheet state="visible" name="N=1e7" sheetId="13" r:id="rId17"/>
    <sheet state="visible" name="N=1e8" sheetId="14" r:id="rId18"/>
    <sheet state="visible" name="N=1e9" sheetId="15" r:id="rId19"/>
  </sheets>
  <definedNames/>
  <calcPr/>
</workbook>
</file>

<file path=xl/sharedStrings.xml><?xml version="1.0" encoding="utf-8"?>
<sst xmlns="http://schemas.openxmlformats.org/spreadsheetml/2006/main" count="331" uniqueCount="27">
  <si>
    <t>Resultados con P = 1 proceso</t>
  </si>
  <si>
    <t>Valor exacto de ∫₀² exp(−x²)dx</t>
  </si>
  <si>
    <t>(√π/2)·erf(2), valor de referencia teórico</t>
  </si>
  <si>
    <t>Valor exacto de ∫₀² sin(x²)dx</t>
  </si>
  <si>
    <t>Integral de Fresnel, valor de referencia teórico</t>
  </si>
  <si>
    <t>Función exp(−x²) en [0, 2]</t>
  </si>
  <si>
    <t>Procesos</t>
  </si>
  <si>
    <t>N (simulaciones)</t>
  </si>
  <si>
    <t>Tiempo de ejecución (s)</t>
  </si>
  <si>
    <t>Aproximación</t>
  </si>
  <si>
    <t>Error relativo (%)</t>
  </si>
  <si>
    <t>Función sin(x²) en [0, 2]</t>
  </si>
  <si>
    <t>Resultados con P = 2 procesos</t>
  </si>
  <si>
    <t>Resultados con P = 4 procesos</t>
  </si>
  <si>
    <t>Resultados con P = 8 procesos</t>
  </si>
  <si>
    <t>Resultados con P = 12 procesos</t>
  </si>
  <si>
    <t>Resultados con P = 16 procesos</t>
  </si>
  <si>
    <t>CLUSTER</t>
  </si>
  <si>
    <t>Resultados con N = 1.000 simulaciones</t>
  </si>
  <si>
    <t>Speedup</t>
  </si>
  <si>
    <t>Eficiencia</t>
  </si>
  <si>
    <t>Resultados con N = 10.000 simulaciones</t>
  </si>
  <si>
    <t>Resultados con N = 100.000 simulaciones</t>
  </si>
  <si>
    <t>Resultados con N = 1.000.000 simulaciones</t>
  </si>
  <si>
    <t>Resultados con N = 10.000.000 simulaciones</t>
  </si>
  <si>
    <t>Resultados con N = 100.000.000 simulaciones</t>
  </si>
  <si>
    <t>Resultados con N = 1.000.000.000 simulaciones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</si>
</sst>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000000"/>
    <numFmt numFmtId="165" formatCode="0.000000000"/>
    <numFmt numFmtId="166" formatCode="0.000000"/>
    <numFmt numFmtId="167" formatCode="0.000"/>
  </numFmts>
  <fonts count="11">
    <font>
      <sz val="11.0"/>
      <color theme="1"/>
      <name val="Calibri"/>
      <scheme val="minor"/>
    </font>
    <font>
      <b/>
      <sz val="13.0"/>
      <color theme="1"/>
      <name val="Arial"/>
    </font>
    <font>
      <i/>
      <sz val="9.0"/>
      <color rgb="FF555555"/>
      <name val="Arial"/>
    </font>
    <font>
      <sz val="10.0"/>
      <color theme="1"/>
      <name val="Arial"/>
    </font>
    <font>
      <sz val="10.0"/>
      <color rgb="FF0000FF"/>
      <name val="Arial"/>
    </font>
    <font>
      <b/>
      <sz val="10.0"/>
      <color theme="1"/>
      <name val="Arial"/>
    </font>
    <font>
      <sz val="11.0"/>
      <color theme="1"/>
      <name val="Calibri"/>
    </font>
    <font>
      <sz val="18.0"/>
      <color theme="1"/>
      <name val="Calibri"/>
      <scheme val="minor"/>
    </font>
    <font>
      <b/>
      <sz val="12.0"/>
      <color theme="1"/>
      <name val="Arial"/>
    </font>
    <font>
      <sz val="12.0"/>
      <color theme="1"/>
      <name val="Calibri"/>
      <scheme val="minor"/>
    </font>
    <font>
      <color rgb="FF434343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8">
    <border/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0" fontId="6" numFmtId="1" xfId="0" applyAlignment="1" applyBorder="1" applyFont="1" applyNumberFormat="1">
      <alignment shrinkToFit="0" vertical="bottom" wrapText="0"/>
    </xf>
    <xf borderId="1" fillId="0" fontId="6" numFmtId="3" xfId="0" applyAlignment="1" applyBorder="1" applyFont="1" applyNumberFormat="1">
      <alignment shrinkToFit="0" vertical="bottom" wrapText="0"/>
    </xf>
    <xf borderId="1" fillId="0" fontId="6" numFmtId="165" xfId="0" applyAlignment="1" applyBorder="1" applyFont="1" applyNumberFormat="1">
      <alignment shrinkToFit="0" vertical="bottom" wrapText="0"/>
    </xf>
    <xf borderId="1" fillId="0" fontId="6" numFmtId="164" xfId="0" applyAlignment="1" applyBorder="1" applyFont="1" applyNumberFormat="1">
      <alignment shrinkToFit="0" vertical="bottom" wrapText="0"/>
    </xf>
    <xf borderId="1" fillId="0" fontId="6" numFmtId="166" xfId="0" applyAlignment="1" applyBorder="1" applyFont="1" applyNumberFormat="1">
      <alignment shrinkToFit="0" vertical="bottom" wrapText="0"/>
    </xf>
    <xf borderId="0" fillId="0" fontId="7" numFmtId="0" xfId="0" applyAlignment="1" applyFont="1">
      <alignment readingOrder="0"/>
    </xf>
    <xf borderId="0" fillId="0" fontId="8" numFmtId="0" xfId="0" applyAlignment="1" applyFont="1">
      <alignment shrinkToFit="0" vertical="bottom" wrapText="0"/>
    </xf>
    <xf borderId="0" fillId="0" fontId="9" numFmtId="0" xfId="0" applyFont="1"/>
    <xf borderId="2" fillId="4" fontId="10" numFmtId="0" xfId="0" applyAlignment="1" applyBorder="1" applyFill="1" applyFont="1">
      <alignment horizontal="right" shrinkToFit="0" wrapText="0"/>
    </xf>
    <xf borderId="3" fillId="4" fontId="10" numFmtId="0" xfId="0" applyAlignment="1" applyBorder="1" applyFill="1" applyFont="1">
      <alignment horizontal="right" shrinkToFit="0" wrapText="0"/>
    </xf>
    <xf borderId="4" fillId="5" fontId="10" numFmtId="0" xfId="0" applyAlignment="1" applyBorder="1" applyFill="1" applyFont="1">
      <alignment horizontal="right" shrinkToFit="0" wrapText="0"/>
    </xf>
    <xf borderId="5" fillId="5" fontId="10" numFmtId="0" xfId="0" applyAlignment="1" applyBorder="1" applyFill="1" applyFont="1">
      <alignment horizontal="right" shrinkToFit="0" wrapText="0"/>
    </xf>
    <xf borderId="6" fillId="5" fontId="10" numFmtId="0" xfId="0" applyAlignment="1" applyBorder="1" applyFill="1" applyFont="1">
      <alignment horizontal="right" shrinkToFit="0" wrapText="0"/>
    </xf>
    <xf borderId="7" fillId="5" fontId="10" numFmtId="0" xfId="0" applyAlignment="1" applyBorder="1" applyFill="1" applyFont="1">
      <alignment horizontal="right" shrinkToFit="0" wrapText="0"/>
    </xf>
    <xf borderId="1" fillId="0" fontId="6" numFmtId="2" xfId="0" applyAlignment="1" applyBorder="1" applyFont="1" applyNumberFormat="1">
      <alignment shrinkToFit="0" vertical="bottom" wrapText="0"/>
    </xf>
    <xf borderId="1" fillId="0" fontId="6" numFmtId="167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4">
    <tableStyle count="2" pivot="0" name="Cl1-style">
      <tableStyleElement dxfId="1" type="firstRowStripe"/>
      <tableStyleElement dxfId="2" type="secondRowStripe"/>
    </tableStyle>
    <tableStyle count="2" pivot="0" name="Cl1-style 2">
      <tableStyleElement dxfId="2" type="firstRowStripe"/>
      <tableStyleElement dxfId="1" type="secondRowStripe"/>
    </tableStyle>
    <tableStyle count="2" pivot="0" name="Cl1-style 3">
      <tableStyleElement dxfId="1" type="firstRowStripe"/>
      <tableStyleElement dxfId="2" type="secondRowStripe"/>
    </tableStyle>
    <tableStyle count="2" pivot="0" name="Cl1-style 4">
      <tableStyleElement dxfId="2" type="firstRowStripe"/>
      <tableStyleElement dxfId="1" type="secondRowStripe"/>
    </tableStyle>
    <tableStyle count="2" pivot="0" name="Cl1-style 5">
      <tableStyleElement dxfId="1" type="firstRowStripe"/>
      <tableStyleElement dxfId="2" type="secondRowStripe"/>
    </tableStyle>
    <tableStyle count="2" pivot="0" name="Cl1-style 6">
      <tableStyleElement dxfId="2" type="firstRowStripe"/>
      <tableStyleElement dxfId="1" type="secondRowStripe"/>
    </tableStyle>
    <tableStyle count="2" pivot="0" name="Cl1-style 7">
      <tableStyleElement dxfId="1" type="firstRowStripe"/>
      <tableStyleElement dxfId="2" type="secondRowStripe"/>
    </tableStyle>
    <tableStyle count="2" pivot="0" name="Cl1-style 8">
      <tableStyleElement dxfId="2" type="firstRowStripe"/>
      <tableStyleElement dxfId="1" type="secondRowStripe"/>
    </tableStyle>
    <tableStyle count="2" pivot="0" name="Cl1-style 9">
      <tableStyleElement dxfId="1" type="firstRowStripe"/>
      <tableStyleElement dxfId="2" type="secondRowStripe"/>
    </tableStyle>
    <tableStyle count="2" pivot="0" name="Cl1-style 10">
      <tableStyleElement dxfId="2" type="firstRowStripe"/>
      <tableStyleElement dxfId="1" type="secondRowStripe"/>
    </tableStyle>
    <tableStyle count="2" pivot="0" name="Cl1-style 11">
      <tableStyleElement dxfId="1" type="firstRowStripe"/>
      <tableStyleElement dxfId="2" type="secondRowStripe"/>
    </tableStyle>
    <tableStyle count="2" pivot="0" name="Cl1-style 12">
      <tableStyleElement dxfId="2" type="firstRowStripe"/>
      <tableStyleElement dxfId="1" type="secondRowStripe"/>
    </tableStyle>
    <tableStyle count="2" pivot="0" name="Hoja 2-style">
      <tableStyleElement dxfId="1" type="firstRowStripe"/>
      <tableStyleElement dxfId="2" type="secondRowStripe"/>
    </tableStyle>
    <tableStyle count="2" pivot="0" name="Hoja 2-style 2">
      <tableStyleElement dxfId="2" type="firstRowStripe"/>
      <tableStyleElement dxfId="1" type="secondRowStripe"/>
    </tableStyle>
    <tableStyle count="2" pivot="0" name="Hoja 2-style 3">
      <tableStyleElement dxfId="1" type="firstRowStripe"/>
      <tableStyleElement dxfId="2" type="secondRowStripe"/>
    </tableStyle>
    <tableStyle count="2" pivot="0" name="Hoja 2-style 4">
      <tableStyleElement dxfId="2" type="firstRowStripe"/>
      <tableStyleElement dxfId="1" type="secondRowStripe"/>
    </tableStyle>
    <tableStyle count="2" pivot="0" name="Hoja 2-style 5">
      <tableStyleElement dxfId="1" type="firstRowStripe"/>
      <tableStyleElement dxfId="2" type="secondRowStripe"/>
    </tableStyle>
    <tableStyle count="2" pivot="0" name="Hoja 2-style 6">
      <tableStyleElement dxfId="2" type="firstRowStripe"/>
      <tableStyleElement dxfId="1" type="secondRowStripe"/>
    </tableStyle>
    <tableStyle count="2" pivot="0" name="Hoja 2-style 7">
      <tableStyleElement dxfId="1" type="firstRowStripe"/>
      <tableStyleElement dxfId="2" type="secondRowStripe"/>
    </tableStyle>
    <tableStyle count="2" pivot="0" name="Hoja 2-style 8">
      <tableStyleElement dxfId="2" type="firstRowStripe"/>
      <tableStyleElement dxfId="1" type="secondRowStripe"/>
    </tableStyle>
    <tableStyle count="2" pivot="0" name="Hoja 2-style 9">
      <tableStyleElement dxfId="1" type="firstRowStripe"/>
      <tableStyleElement dxfId="2" type="secondRowStripe"/>
    </tableStyle>
    <tableStyle count="2" pivot="0" name="Hoja 2-style 10">
      <tableStyleElement dxfId="2" type="firstRowStripe"/>
      <tableStyleElement dxfId="1" type="secondRowStripe"/>
    </tableStyle>
    <tableStyle count="2" pivot="0" name="Hoja 2-style 11">
      <tableStyleElement dxfId="1" type="firstRowStripe"/>
      <tableStyleElement dxfId="2" type="secondRowStripe"/>
    </tableStyle>
    <tableStyle count="2" pivot="0" name="Hoja 2-style 1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5:F11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Cl1-style" showColumnStripes="0" showFirstColumn="1" showLastColumn="1" showRowStripes="1"/>
</table>
</file>

<file path=xl/tables/table2.xml><?xml version="1.0" encoding="utf-8"?>
<table xmlns="http://schemas.openxmlformats.org/spreadsheetml/2006/main" headerRowCount="0" ref="H5:L11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Cl1-style 2" showColumnStripes="0" showFirstColumn="1" showLastColumn="1" showRowStripes="1"/>
</table>
</file>

<file path=xl/tables/table3.xml><?xml version="1.0" encoding="utf-8"?>
<table xmlns="http://schemas.openxmlformats.org/spreadsheetml/2006/main" headerRowCount="0" ref="B15:F21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Cl1-style 3" showColumnStripes="0" showFirstColumn="1" showLastColumn="1" showRowStripes="1"/>
</table>
</file>

<file path=xl/tables/table4.xml><?xml version="1.0" encoding="utf-8"?>
<table xmlns="http://schemas.openxmlformats.org/spreadsheetml/2006/main" headerRowCount="0" ref="H15:L21" displayName="Table_4" name="Table_4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Cl1-style 4" showColumnStripes="0" showFirstColumn="1" showLastColumn="1" showRowStripes="1"/>
</table>
</file>

<file path=xl/tables/table5.xml><?xml version="1.0" encoding="utf-8"?>
<table xmlns="http://schemas.openxmlformats.org/spreadsheetml/2006/main" headerRowCount="0" ref="B24:F30" displayName="Table_5" name="Table_5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Cl1-style 5" showColumnStripes="0" showFirstColumn="1" showLastColumn="1" showRowStripes="1"/>
</table>
</file>

<file path=xl/tables/table6.xml><?xml version="1.0" encoding="utf-8"?>
<table xmlns="http://schemas.openxmlformats.org/spreadsheetml/2006/main" headerRowCount="0" ref="H24:L30" displayName="Table_6" name="Table_6" id="6">
  <tableColumns count="5">
    <tableColumn name="Column1" id="1"/>
    <tableColumn name="Column2" id="2"/>
    <tableColumn name="Column3" id="3"/>
    <tableColumn name="Column4" id="4"/>
    <tableColumn name="Column5" id="5"/>
  </tableColumns>
  <tableStyleInfo name="Cl1-style 6" showColumnStripes="0" showFirstColumn="1" showLastColumn="1" showRowStripes="1"/>
</table>
</file>

<file path=xl/tables/table7.xml><?xml version="1.0" encoding="utf-8"?>
<table xmlns="http://schemas.openxmlformats.org/spreadsheetml/2006/main" headerRowCount="0" ref="B33:F39" displayName="Table_7" name="Table_7" id="7">
  <tableColumns count="5">
    <tableColumn name="Column1" id="1"/>
    <tableColumn name="Column2" id="2"/>
    <tableColumn name="Column3" id="3"/>
    <tableColumn name="Column4" id="4"/>
    <tableColumn name="Column5" id="5"/>
  </tableColumns>
  <tableStyleInfo name="Cl1-style 7" showColumnStripes="0" showFirstColumn="1" showLastColumn="1" showRowStripes="1"/>
</table>
</file>

<file path=xl/tables/table8.xml><?xml version="1.0" encoding="utf-8"?>
<table xmlns="http://schemas.openxmlformats.org/spreadsheetml/2006/main" headerRowCount="0" ref="H33:L41" displayName="Table_8" name="Table_8" id="8">
  <tableColumns count="5">
    <tableColumn name="Column1" id="1"/>
    <tableColumn name="Column2" id="2"/>
    <tableColumn name="Column3" id="3"/>
    <tableColumn name="Column4" id="4"/>
    <tableColumn name="Column5" id="5"/>
  </tableColumns>
  <tableStyleInfo name="Cl1-style 8" showColumnStripes="0" showFirstColumn="1" showLastColumn="1" showRowStripes="1"/>
</table>
</file>

<file path=xl/tables/table9.xml><?xml version="1.0" encoding="utf-8"?>
<table xmlns="http://schemas.openxmlformats.org/spreadsheetml/2006/main" headerRowCount="0" ref="B45:F53" displayName="Table_9" name="Table_9" id="9">
  <tableColumns count="5">
    <tableColumn name="Column1" id="1"/>
    <tableColumn name="Column2" id="2"/>
    <tableColumn name="Column3" id="3"/>
    <tableColumn name="Column4" id="4"/>
    <tableColumn name="Column5" id="5"/>
  </tableColumns>
  <tableStyleInfo name="Cl1-style 9" showColumnStripes="0" showFirstColumn="1" showLastColumn="1" showRowStripes="1"/>
</table>
</file>

<file path=xl/tables/table10.xml><?xml version="1.0" encoding="utf-8"?>
<table xmlns="http://schemas.openxmlformats.org/spreadsheetml/2006/main" headerRowCount="0" ref="H45:L53" displayName="Table_10" name="Table_10" id="10">
  <tableColumns count="5">
    <tableColumn name="Column1" id="1"/>
    <tableColumn name="Column2" id="2"/>
    <tableColumn name="Column3" id="3"/>
    <tableColumn name="Column4" id="4"/>
    <tableColumn name="Column5" id="5"/>
  </tableColumns>
  <tableStyleInfo name="Cl1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B56:F64" displayName="Table_11" name="Table_11" id="11">
  <tableColumns count="5">
    <tableColumn name="Column1" id="1"/>
    <tableColumn name="Column2" id="2"/>
    <tableColumn name="Column3" id="3"/>
    <tableColumn name="Column4" id="4"/>
    <tableColumn name="Column5" id="5"/>
  </tableColumns>
  <tableStyleInfo name="Cl1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H56:L64" displayName="Table_12" name="Table_12" id="12">
  <tableColumns count="5">
    <tableColumn name="Column1" id="1"/>
    <tableColumn name="Column2" id="2"/>
    <tableColumn name="Column3" id="3"/>
    <tableColumn name="Column4" id="4"/>
    <tableColumn name="Column5" id="5"/>
  </tableColumns>
  <tableStyleInfo name="Cl1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B5:F11" displayName="Table_13" name="Table_13" id="13">
  <tableColumns count="5">
    <tableColumn name="Column1" id="1"/>
    <tableColumn name="Column2" id="2"/>
    <tableColumn name="Column3" id="3"/>
    <tableColumn name="Column4" id="4"/>
    <tableColumn name="Column5" id="5"/>
  </tableColumns>
  <tableStyleInfo name="Hoja 2-style" showColumnStripes="0" showFirstColumn="1" showLastColumn="1" showRowStripes="1"/>
</table>
</file>

<file path=xl/tables/table14.xml><?xml version="1.0" encoding="utf-8"?>
<table xmlns="http://schemas.openxmlformats.org/spreadsheetml/2006/main" headerRowCount="0" ref="H5:L11" displayName="Table_14" name="Table_14" id="14">
  <tableColumns count="5">
    <tableColumn name="Column1" id="1"/>
    <tableColumn name="Column2" id="2"/>
    <tableColumn name="Column3" id="3"/>
    <tableColumn name="Column4" id="4"/>
    <tableColumn name="Column5" id="5"/>
  </tableColumns>
  <tableStyleInfo name="Hoja 2-style 2" showColumnStripes="0" showFirstColumn="1" showLastColumn="1" showRowStripes="1"/>
</table>
</file>

<file path=xl/tables/table15.xml><?xml version="1.0" encoding="utf-8"?>
<table xmlns="http://schemas.openxmlformats.org/spreadsheetml/2006/main" headerRowCount="0" ref="B15:F21" displayName="Table_15" name="Table_15" id="15">
  <tableColumns count="5">
    <tableColumn name="Column1" id="1"/>
    <tableColumn name="Column2" id="2"/>
    <tableColumn name="Column3" id="3"/>
    <tableColumn name="Column4" id="4"/>
    <tableColumn name="Column5" id="5"/>
  </tableColumns>
  <tableStyleInfo name="Hoja 2-style 3" showColumnStripes="0" showFirstColumn="1" showLastColumn="1" showRowStripes="1"/>
</table>
</file>

<file path=xl/tables/table16.xml><?xml version="1.0" encoding="utf-8"?>
<table xmlns="http://schemas.openxmlformats.org/spreadsheetml/2006/main" headerRowCount="0" ref="H15:L21" displayName="Table_16" name="Table_16" id="16">
  <tableColumns count="5">
    <tableColumn name="Column1" id="1"/>
    <tableColumn name="Column2" id="2"/>
    <tableColumn name="Column3" id="3"/>
    <tableColumn name="Column4" id="4"/>
    <tableColumn name="Column5" id="5"/>
  </tableColumns>
  <tableStyleInfo name="Hoja 2-style 4" showColumnStripes="0" showFirstColumn="1" showLastColumn="1" showRowStripes="1"/>
</table>
</file>

<file path=xl/tables/table17.xml><?xml version="1.0" encoding="utf-8"?>
<table xmlns="http://schemas.openxmlformats.org/spreadsheetml/2006/main" headerRowCount="0" ref="B24:F30" displayName="Table_17" name="Table_17" id="17">
  <tableColumns count="5">
    <tableColumn name="Column1" id="1"/>
    <tableColumn name="Column2" id="2"/>
    <tableColumn name="Column3" id="3"/>
    <tableColumn name="Column4" id="4"/>
    <tableColumn name="Column5" id="5"/>
  </tableColumns>
  <tableStyleInfo name="Hoja 2-style 5" showColumnStripes="0" showFirstColumn="1" showLastColumn="1" showRowStripes="1"/>
</table>
</file>

<file path=xl/tables/table18.xml><?xml version="1.0" encoding="utf-8"?>
<table xmlns="http://schemas.openxmlformats.org/spreadsheetml/2006/main" headerRowCount="0" ref="H24:L30" displayName="Table_18" name="Table_18" id="18">
  <tableColumns count="5">
    <tableColumn name="Column1" id="1"/>
    <tableColumn name="Column2" id="2"/>
    <tableColumn name="Column3" id="3"/>
    <tableColumn name="Column4" id="4"/>
    <tableColumn name="Column5" id="5"/>
  </tableColumns>
  <tableStyleInfo name="Hoja 2-style 6" showColumnStripes="0" showFirstColumn="1" showLastColumn="1" showRowStripes="1"/>
</table>
</file>

<file path=xl/tables/table19.xml><?xml version="1.0" encoding="utf-8"?>
<table xmlns="http://schemas.openxmlformats.org/spreadsheetml/2006/main" headerRowCount="0" ref="B33:F39" displayName="Table_19" name="Table_19" id="19">
  <tableColumns count="5">
    <tableColumn name="Column1" id="1"/>
    <tableColumn name="Column2" id="2"/>
    <tableColumn name="Column3" id="3"/>
    <tableColumn name="Column4" id="4"/>
    <tableColumn name="Column5" id="5"/>
  </tableColumns>
  <tableStyleInfo name="Hoja 2-style 7" showColumnStripes="0" showFirstColumn="1" showLastColumn="1" showRowStripes="1"/>
</table>
</file>

<file path=xl/tables/table20.xml><?xml version="1.0" encoding="utf-8"?>
<table xmlns="http://schemas.openxmlformats.org/spreadsheetml/2006/main" headerRowCount="0" ref="H33:L41" displayName="Table_20" name="Table_20" id="20">
  <tableColumns count="5">
    <tableColumn name="Column1" id="1"/>
    <tableColumn name="Column2" id="2"/>
    <tableColumn name="Column3" id="3"/>
    <tableColumn name="Column4" id="4"/>
    <tableColumn name="Column5" id="5"/>
  </tableColumns>
  <tableStyleInfo name="Hoja 2-style 8" showColumnStripes="0" showFirstColumn="1" showLastColumn="1" showRowStripes="1"/>
</table>
</file>

<file path=xl/tables/table21.xml><?xml version="1.0" encoding="utf-8"?>
<table xmlns="http://schemas.openxmlformats.org/spreadsheetml/2006/main" headerRowCount="0" ref="B45:F53" displayName="Table_21" name="Table_21" id="21">
  <tableColumns count="5">
    <tableColumn name="Column1" id="1"/>
    <tableColumn name="Column2" id="2"/>
    <tableColumn name="Column3" id="3"/>
    <tableColumn name="Column4" id="4"/>
    <tableColumn name="Column5" id="5"/>
  </tableColumns>
  <tableStyleInfo name="Hoja 2-style 9" showColumnStripes="0" showFirstColumn="1" showLastColumn="1" showRowStripes="1"/>
</table>
</file>

<file path=xl/tables/table22.xml><?xml version="1.0" encoding="utf-8"?>
<table xmlns="http://schemas.openxmlformats.org/spreadsheetml/2006/main" headerRowCount="0" ref="H45:L53" displayName="Table_22" name="Table_22" id="22">
  <tableColumns count="5">
    <tableColumn name="Column1" id="1"/>
    <tableColumn name="Column2" id="2"/>
    <tableColumn name="Column3" id="3"/>
    <tableColumn name="Column4" id="4"/>
    <tableColumn name="Column5" id="5"/>
  </tableColumns>
  <tableStyleInfo name="Hoja 2-style 10" showColumnStripes="0" showFirstColumn="1" showLastColumn="1" showRowStripes="1"/>
</table>
</file>

<file path=xl/tables/table23.xml><?xml version="1.0" encoding="utf-8"?>
<table xmlns="http://schemas.openxmlformats.org/spreadsheetml/2006/main" headerRowCount="0" ref="B56:F64" displayName="Table_23" name="Table_23" id="23">
  <tableColumns count="5">
    <tableColumn name="Column1" id="1"/>
    <tableColumn name="Column2" id="2"/>
    <tableColumn name="Column3" id="3"/>
    <tableColumn name="Column4" id="4"/>
    <tableColumn name="Column5" id="5"/>
  </tableColumns>
  <tableStyleInfo name="Hoja 2-style 11" showColumnStripes="0" showFirstColumn="1" showLastColumn="1" showRowStripes="1"/>
</table>
</file>

<file path=xl/tables/table24.xml><?xml version="1.0" encoding="utf-8"?>
<table xmlns="http://schemas.openxmlformats.org/spreadsheetml/2006/main" headerRowCount="0" ref="H56:L64" displayName="Table_24" name="Table_24" id="24">
  <tableColumns count="5">
    <tableColumn name="Column1" id="1"/>
    <tableColumn name="Column2" id="2"/>
    <tableColumn name="Column3" id="3"/>
    <tableColumn name="Column4" id="4"/>
    <tableColumn name="Column5" id="5"/>
  </tableColumns>
  <tableStyleInfo name="Hoja 2-style 1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table" Target="../tables/table7.xml"/><Relationship Id="rId22" Type="http://schemas.openxmlformats.org/officeDocument/2006/relationships/table" Target="../tables/table9.xml"/><Relationship Id="rId21" Type="http://schemas.openxmlformats.org/officeDocument/2006/relationships/table" Target="../tables/table8.xml"/><Relationship Id="rId24" Type="http://schemas.openxmlformats.org/officeDocument/2006/relationships/table" Target="../tables/table11.xml"/><Relationship Id="rId23" Type="http://schemas.openxmlformats.org/officeDocument/2006/relationships/table" Target="../tables/table10.xml"/><Relationship Id="rId1" Type="http://schemas.openxmlformats.org/officeDocument/2006/relationships/drawing" Target="../drawings/drawing7.xml"/><Relationship Id="rId15" Type="http://schemas.openxmlformats.org/officeDocument/2006/relationships/table" Target="../tables/table2.xml"/><Relationship Id="rId14" Type="http://schemas.openxmlformats.org/officeDocument/2006/relationships/table" Target="../tables/table1.xml"/><Relationship Id="rId25" Type="http://schemas.openxmlformats.org/officeDocument/2006/relationships/table" Target="../tables/table12.xml"/><Relationship Id="rId17" Type="http://schemas.openxmlformats.org/officeDocument/2006/relationships/table" Target="../tables/table4.xml"/><Relationship Id="rId16" Type="http://schemas.openxmlformats.org/officeDocument/2006/relationships/table" Target="../tables/table3.xml"/><Relationship Id="rId19" Type="http://schemas.openxmlformats.org/officeDocument/2006/relationships/table" Target="../tables/table6.xml"/><Relationship Id="rId18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9.xml"/><Relationship Id="rId22" Type="http://schemas.openxmlformats.org/officeDocument/2006/relationships/table" Target="../tables/table21.xml"/><Relationship Id="rId21" Type="http://schemas.openxmlformats.org/officeDocument/2006/relationships/table" Target="../tables/table20.xml"/><Relationship Id="rId24" Type="http://schemas.openxmlformats.org/officeDocument/2006/relationships/table" Target="../tables/table23.xml"/><Relationship Id="rId23" Type="http://schemas.openxmlformats.org/officeDocument/2006/relationships/table" Target="../tables/table22.xml"/><Relationship Id="rId1" Type="http://schemas.openxmlformats.org/officeDocument/2006/relationships/drawing" Target="../drawings/drawing8.xml"/><Relationship Id="rId15" Type="http://schemas.openxmlformats.org/officeDocument/2006/relationships/table" Target="../tables/table14.xml"/><Relationship Id="rId14" Type="http://schemas.openxmlformats.org/officeDocument/2006/relationships/table" Target="../tables/table13.xml"/><Relationship Id="rId25" Type="http://schemas.openxmlformats.org/officeDocument/2006/relationships/table" Target="../tables/table24.xml"/><Relationship Id="rId17" Type="http://schemas.openxmlformats.org/officeDocument/2006/relationships/table" Target="../tables/table16.xml"/><Relationship Id="rId16" Type="http://schemas.openxmlformats.org/officeDocument/2006/relationships/table" Target="../tables/table15.xml"/><Relationship Id="rId19" Type="http://schemas.openxmlformats.org/officeDocument/2006/relationships/table" Target="../tables/table18.xml"/><Relationship Id="rId18" Type="http://schemas.openxmlformats.org/officeDocument/2006/relationships/table" Target="../tables/table1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4.0"/>
    <col customWidth="1" min="4" max="4" width="17.0"/>
    <col customWidth="1" min="5" max="5" width="18.0"/>
    <col customWidth="1" min="6" max="6" width="3.0"/>
    <col customWidth="1" min="7" max="8" width="20.0"/>
    <col customWidth="1" min="9" max="9" width="24.0"/>
    <col customWidth="1" min="10" max="10" width="28.0"/>
  </cols>
  <sheetData>
    <row r="1">
      <c r="A1" s="1" t="s">
        <v>0</v>
      </c>
    </row>
    <row r="2">
      <c r="A2" s="2"/>
    </row>
    <row r="4">
      <c r="A4" s="3" t="s">
        <v>1</v>
      </c>
      <c r="D4" s="4">
        <v>0.882081390762422</v>
      </c>
      <c r="E4" s="2" t="s">
        <v>2</v>
      </c>
    </row>
    <row r="5">
      <c r="A5" s="3" t="s">
        <v>3</v>
      </c>
      <c r="D5" s="4">
        <v>0.804776489343756</v>
      </c>
      <c r="E5" s="2" t="s">
        <v>4</v>
      </c>
    </row>
    <row r="7">
      <c r="A7" s="5" t="s">
        <v>5</v>
      </c>
      <c r="G7" s="5"/>
    </row>
    <row r="8" ht="31.5" customHeight="1">
      <c r="A8" s="6" t="s">
        <v>6</v>
      </c>
      <c r="B8" s="6" t="s">
        <v>7</v>
      </c>
      <c r="C8" s="6" t="s">
        <v>8</v>
      </c>
      <c r="D8" s="6" t="s">
        <v>9</v>
      </c>
      <c r="E8" s="6" t="s">
        <v>10</v>
      </c>
      <c r="G8" s="7"/>
      <c r="H8" s="7"/>
      <c r="I8" s="7"/>
      <c r="J8" s="7"/>
    </row>
    <row r="9">
      <c r="A9" s="8">
        <v>1.0</v>
      </c>
      <c r="B9" s="9">
        <v>1000.0</v>
      </c>
      <c r="C9" s="10">
        <v>9.753E-6</v>
      </c>
      <c r="D9" s="11">
        <v>0.89250459743</v>
      </c>
      <c r="E9" s="12">
        <f t="shared" ref="E9:E15" si="1">ABS(D9-$D$4)/$D$4*100</f>
        <v>1.18166042</v>
      </c>
      <c r="G9" s="10"/>
      <c r="H9" s="10"/>
      <c r="I9" s="8"/>
      <c r="J9" s="12"/>
    </row>
    <row r="10">
      <c r="A10" s="8">
        <v>1.0</v>
      </c>
      <c r="B10" s="9">
        <v>10000.0</v>
      </c>
      <c r="C10" s="10">
        <v>9.5374E-5</v>
      </c>
      <c r="D10" s="11">
        <v>0.88450553738</v>
      </c>
      <c r="E10" s="12">
        <f t="shared" si="1"/>
        <v>0.2748211948</v>
      </c>
      <c r="G10" s="10"/>
      <c r="H10" s="10"/>
      <c r="I10" s="8"/>
      <c r="J10" s="12"/>
    </row>
    <row r="11">
      <c r="A11" s="8">
        <v>1.0</v>
      </c>
      <c r="B11" s="9">
        <v>100000.0</v>
      </c>
      <c r="C11" s="10">
        <v>9.960815E-4</v>
      </c>
      <c r="D11" s="11">
        <v>0.882277645996667</v>
      </c>
      <c r="E11" s="12">
        <f t="shared" si="1"/>
        <v>0.0222491072</v>
      </c>
      <c r="G11" s="10"/>
      <c r="H11" s="10"/>
      <c r="I11" s="8"/>
      <c r="J11" s="12"/>
    </row>
    <row r="12">
      <c r="A12" s="8">
        <v>1.0</v>
      </c>
      <c r="B12" s="9">
        <v>1000000.0</v>
      </c>
      <c r="C12" s="10">
        <v>0.0096374035</v>
      </c>
      <c r="D12" s="11">
        <v>0.882255786706667</v>
      </c>
      <c r="E12" s="12">
        <f t="shared" si="1"/>
        <v>0.01977095833</v>
      </c>
      <c r="G12" s="10"/>
      <c r="H12" s="10"/>
      <c r="I12" s="8"/>
      <c r="J12" s="12"/>
    </row>
    <row r="13">
      <c r="A13" s="8">
        <v>1.0</v>
      </c>
      <c r="B13" s="9">
        <v>1.0E7</v>
      </c>
      <c r="C13" s="10">
        <v>0.0978941805</v>
      </c>
      <c r="D13" s="11">
        <v>0.88206025834</v>
      </c>
      <c r="E13" s="12">
        <f t="shared" si="1"/>
        <v>0.002395745182</v>
      </c>
      <c r="G13" s="10"/>
      <c r="H13" s="10"/>
      <c r="I13" s="8"/>
      <c r="J13" s="12"/>
    </row>
    <row r="14">
      <c r="A14" s="8">
        <v>1.0</v>
      </c>
      <c r="B14" s="9">
        <v>1.0E8</v>
      </c>
      <c r="C14" s="10">
        <v>1.006344502</v>
      </c>
      <c r="D14" s="11">
        <v>0.882059219493333</v>
      </c>
      <c r="E14" s="12">
        <f t="shared" si="1"/>
        <v>0.002513517383</v>
      </c>
      <c r="G14" s="10"/>
      <c r="H14" s="10"/>
      <c r="I14" s="8"/>
      <c r="J14" s="12"/>
    </row>
    <row r="15">
      <c r="A15" s="8">
        <v>1.0</v>
      </c>
      <c r="B15" s="9">
        <v>1.0E9</v>
      </c>
      <c r="C15" s="10">
        <v>10.1722982705</v>
      </c>
      <c r="D15" s="11">
        <v>0.882082398476667</v>
      </c>
      <c r="E15" s="12">
        <f t="shared" si="1"/>
        <v>0.0001142427735</v>
      </c>
      <c r="G15" s="10"/>
      <c r="H15" s="10"/>
      <c r="I15" s="8"/>
      <c r="J15" s="12"/>
    </row>
    <row r="18">
      <c r="A18" s="5" t="s">
        <v>11</v>
      </c>
      <c r="G18" s="5"/>
    </row>
    <row r="19" ht="31.5" customHeight="1">
      <c r="A19" s="6" t="s">
        <v>6</v>
      </c>
      <c r="B19" s="6" t="s">
        <v>7</v>
      </c>
      <c r="C19" s="6" t="s">
        <v>8</v>
      </c>
      <c r="D19" s="6" t="s">
        <v>9</v>
      </c>
      <c r="E19" s="6" t="s">
        <v>10</v>
      </c>
      <c r="G19" s="7"/>
      <c r="H19" s="7"/>
      <c r="I19" s="7"/>
      <c r="J19" s="7"/>
    </row>
    <row r="20">
      <c r="A20" s="8">
        <v>1.0</v>
      </c>
      <c r="B20" s="9">
        <v>1000.0</v>
      </c>
      <c r="C20" s="10">
        <v>2.97905E-5</v>
      </c>
      <c r="D20" s="11">
        <v>0.810458983516667</v>
      </c>
      <c r="E20" s="12">
        <f t="shared" ref="E20:E26" si="2">ABS(D20-$D$5)/$D$5*100</f>
        <v>0.7060959469</v>
      </c>
      <c r="G20" s="10"/>
      <c r="H20" s="10"/>
      <c r="I20" s="8"/>
      <c r="J20" s="12"/>
    </row>
    <row r="21" ht="15.75" customHeight="1">
      <c r="A21" s="8">
        <v>1.0</v>
      </c>
      <c r="B21" s="9">
        <v>10000.0</v>
      </c>
      <c r="C21" s="10">
        <v>2.52448E-4</v>
      </c>
      <c r="D21" s="11">
        <v>0.806630657896667</v>
      </c>
      <c r="E21" s="12">
        <f t="shared" si="2"/>
        <v>0.2303954672</v>
      </c>
      <c r="G21" s="10"/>
      <c r="H21" s="10"/>
      <c r="I21" s="8"/>
      <c r="J21" s="12"/>
    </row>
    <row r="22" ht="15.75" customHeight="1">
      <c r="A22" s="8">
        <v>1.0</v>
      </c>
      <c r="B22" s="9">
        <v>100000.0</v>
      </c>
      <c r="C22" s="10">
        <v>0.0026000215</v>
      </c>
      <c r="D22" s="11">
        <v>0.805037256213333</v>
      </c>
      <c r="E22" s="12">
        <f t="shared" si="2"/>
        <v>0.03240239657</v>
      </c>
      <c r="G22" s="10"/>
      <c r="H22" s="10"/>
      <c r="I22" s="8"/>
      <c r="J22" s="12"/>
    </row>
    <row r="23" ht="15.75" customHeight="1">
      <c r="A23" s="8">
        <v>1.0</v>
      </c>
      <c r="B23" s="9">
        <v>1000000.0</v>
      </c>
      <c r="C23" s="10">
        <v>0.0258490415</v>
      </c>
      <c r="D23" s="11">
        <v>0.804695487986667</v>
      </c>
      <c r="E23" s="12">
        <f t="shared" si="2"/>
        <v>0.01006507498</v>
      </c>
      <c r="G23" s="10"/>
      <c r="H23" s="10"/>
      <c r="I23" s="8"/>
      <c r="J23" s="12"/>
    </row>
    <row r="24" ht="15.75" customHeight="1">
      <c r="A24" s="8">
        <v>1.0</v>
      </c>
      <c r="B24" s="9">
        <v>1.0E7</v>
      </c>
      <c r="C24" s="10">
        <v>0.2617349895</v>
      </c>
      <c r="D24" s="11">
        <v>0.804875167103333</v>
      </c>
      <c r="E24" s="12">
        <f t="shared" si="2"/>
        <v>0.01226151122</v>
      </c>
      <c r="G24" s="10"/>
      <c r="H24" s="10"/>
      <c r="I24" s="8"/>
      <c r="J24" s="12"/>
    </row>
    <row r="25" ht="15.75" customHeight="1">
      <c r="A25" s="8">
        <v>1.0</v>
      </c>
      <c r="B25" s="9">
        <v>1.0E8</v>
      </c>
      <c r="C25" s="10">
        <v>2.6171326915</v>
      </c>
      <c r="D25" s="11">
        <v>0.80479307173</v>
      </c>
      <c r="E25" s="12">
        <f t="shared" si="2"/>
        <v>0.00206049586</v>
      </c>
      <c r="G25" s="10"/>
      <c r="H25" s="10"/>
      <c r="I25" s="8"/>
      <c r="J25" s="12"/>
    </row>
    <row r="26" ht="15.75" customHeight="1">
      <c r="A26" s="8">
        <v>1.0</v>
      </c>
      <c r="B26" s="9">
        <v>1.0E9</v>
      </c>
      <c r="C26" s="10">
        <v>26.230971862</v>
      </c>
      <c r="D26" s="11">
        <v>0.80478484599</v>
      </c>
      <c r="E26" s="12">
        <f t="shared" si="2"/>
        <v>0.001038381011</v>
      </c>
      <c r="G26" s="10"/>
      <c r="H26" s="10"/>
      <c r="I26" s="8"/>
      <c r="J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4.0"/>
    <col customWidth="1" min="4" max="4" width="17.0"/>
    <col customWidth="1" min="5" max="5" width="18.0"/>
    <col customWidth="1" min="6" max="6" width="3.0"/>
    <col customWidth="1" min="7" max="8" width="20.0"/>
    <col customWidth="1" min="9" max="9" width="24.0"/>
    <col customWidth="1" min="10" max="10" width="28.0"/>
  </cols>
  <sheetData>
    <row r="1">
      <c r="A1" s="1" t="s">
        <v>12</v>
      </c>
    </row>
    <row r="2">
      <c r="A2" s="2"/>
    </row>
    <row r="4">
      <c r="A4" s="3" t="s">
        <v>1</v>
      </c>
      <c r="D4" s="4">
        <v>0.882081390762422</v>
      </c>
      <c r="E4" s="2" t="s">
        <v>2</v>
      </c>
    </row>
    <row r="5">
      <c r="A5" s="3" t="s">
        <v>3</v>
      </c>
      <c r="D5" s="4">
        <v>0.804776489343756</v>
      </c>
      <c r="E5" s="2" t="s">
        <v>4</v>
      </c>
    </row>
    <row r="7">
      <c r="A7" s="5" t="s">
        <v>5</v>
      </c>
      <c r="G7" s="5"/>
    </row>
    <row r="8" ht="31.5" customHeight="1">
      <c r="A8" s="6" t="s">
        <v>6</v>
      </c>
      <c r="B8" s="6" t="s">
        <v>7</v>
      </c>
      <c r="C8" s="6" t="s">
        <v>8</v>
      </c>
      <c r="D8" s="6" t="s">
        <v>9</v>
      </c>
      <c r="E8" s="6" t="s">
        <v>10</v>
      </c>
      <c r="G8" s="7"/>
      <c r="H8" s="7"/>
      <c r="I8" s="7"/>
      <c r="J8" s="7"/>
    </row>
    <row r="9">
      <c r="A9" s="8">
        <v>2.0</v>
      </c>
      <c r="B9" s="9">
        <v>1000.0</v>
      </c>
      <c r="C9" s="10">
        <v>6.207E-6</v>
      </c>
      <c r="D9" s="11">
        <v>0.885919612453333</v>
      </c>
      <c r="E9" s="12">
        <f t="shared" ref="E9:E15" si="1">ABS(D9-$D$4)/$D$4*100</f>
        <v>0.4351323734</v>
      </c>
      <c r="G9" s="10"/>
      <c r="H9" s="10"/>
      <c r="I9" s="8"/>
      <c r="J9" s="12"/>
    </row>
    <row r="10">
      <c r="A10" s="8">
        <v>2.0</v>
      </c>
      <c r="B10" s="9">
        <v>10000.0</v>
      </c>
      <c r="C10" s="10">
        <v>4.9603E-5</v>
      </c>
      <c r="D10" s="11">
        <v>0.881815890516667</v>
      </c>
      <c r="E10" s="12">
        <f t="shared" si="1"/>
        <v>0.03009929112</v>
      </c>
      <c r="G10" s="10"/>
      <c r="H10" s="10"/>
      <c r="I10" s="8"/>
      <c r="J10" s="12"/>
    </row>
    <row r="11">
      <c r="A11" s="8">
        <v>2.0</v>
      </c>
      <c r="B11" s="9">
        <v>100000.0</v>
      </c>
      <c r="C11" s="10">
        <v>4.86383E-4</v>
      </c>
      <c r="D11" s="11">
        <v>0.881494236103334</v>
      </c>
      <c r="E11" s="12">
        <f t="shared" si="1"/>
        <v>0.06656468045</v>
      </c>
      <c r="G11" s="10"/>
      <c r="H11" s="10"/>
      <c r="I11" s="8"/>
      <c r="J11" s="12"/>
    </row>
    <row r="12">
      <c r="A12" s="8">
        <v>2.0</v>
      </c>
      <c r="B12" s="9">
        <v>1000000.0</v>
      </c>
      <c r="C12" s="10">
        <v>0.004922515</v>
      </c>
      <c r="D12" s="11">
        <v>0.882073861953334</v>
      </c>
      <c r="E12" s="12">
        <f t="shared" si="1"/>
        <v>0.0008535277092</v>
      </c>
      <c r="G12" s="10"/>
      <c r="H12" s="10"/>
      <c r="I12" s="8"/>
      <c r="J12" s="12"/>
    </row>
    <row r="13">
      <c r="A13" s="8">
        <v>2.0</v>
      </c>
      <c r="B13" s="9">
        <v>1.0E7</v>
      </c>
      <c r="C13" s="10">
        <v>0.0498899485</v>
      </c>
      <c r="D13" s="11">
        <v>0.88215437476</v>
      </c>
      <c r="E13" s="12">
        <f t="shared" si="1"/>
        <v>0.008274066128</v>
      </c>
      <c r="G13" s="10"/>
      <c r="H13" s="10"/>
      <c r="I13" s="8"/>
      <c r="J13" s="12"/>
    </row>
    <row r="14">
      <c r="A14" s="8">
        <v>2.0</v>
      </c>
      <c r="B14" s="9">
        <v>1.0E8</v>
      </c>
      <c r="C14" s="10">
        <v>0.5211327695</v>
      </c>
      <c r="D14" s="11">
        <v>0.882090329793333</v>
      </c>
      <c r="E14" s="12">
        <f t="shared" si="1"/>
        <v>0.001013402052</v>
      </c>
      <c r="G14" s="10"/>
      <c r="H14" s="10"/>
      <c r="I14" s="8"/>
      <c r="J14" s="12"/>
    </row>
    <row r="15">
      <c r="A15" s="8">
        <v>2.0</v>
      </c>
      <c r="B15" s="9">
        <v>1.0E9</v>
      </c>
      <c r="C15" s="10">
        <v>5.319886576</v>
      </c>
      <c r="D15" s="11">
        <v>0.88207933655</v>
      </c>
      <c r="E15" s="12">
        <f t="shared" si="1"/>
        <v>0.0002328824124</v>
      </c>
      <c r="G15" s="10"/>
      <c r="H15" s="10"/>
      <c r="I15" s="8"/>
      <c r="J15" s="12"/>
    </row>
    <row r="18">
      <c r="A18" s="5" t="s">
        <v>11</v>
      </c>
      <c r="G18" s="5"/>
    </row>
    <row r="19" ht="31.5" customHeight="1">
      <c r="A19" s="6" t="s">
        <v>6</v>
      </c>
      <c r="B19" s="6" t="s">
        <v>7</v>
      </c>
      <c r="C19" s="6" t="s">
        <v>8</v>
      </c>
      <c r="D19" s="6" t="s">
        <v>9</v>
      </c>
      <c r="E19" s="6" t="s">
        <v>10</v>
      </c>
      <c r="G19" s="7"/>
      <c r="H19" s="7"/>
      <c r="I19" s="7"/>
      <c r="J19" s="7"/>
    </row>
    <row r="20">
      <c r="A20" s="8">
        <v>2.0</v>
      </c>
      <c r="B20" s="9">
        <v>1000.0</v>
      </c>
      <c r="C20" s="10">
        <v>1.84645E-5</v>
      </c>
      <c r="D20" s="11">
        <v>0.806741975793333</v>
      </c>
      <c r="E20" s="12">
        <f t="shared" ref="E20:E26" si="2">ABS(D20-$D$5)/$D$5*100</f>
        <v>0.2442276179</v>
      </c>
      <c r="G20" s="10"/>
      <c r="H20" s="10"/>
      <c r="I20" s="8"/>
      <c r="J20" s="12"/>
    </row>
    <row r="21" ht="15.75" customHeight="1">
      <c r="A21" s="8">
        <v>2.0</v>
      </c>
      <c r="B21" s="9">
        <v>10000.0</v>
      </c>
      <c r="C21" s="10">
        <v>1.31291E-4</v>
      </c>
      <c r="D21" s="11">
        <v>0.805873331946666</v>
      </c>
      <c r="E21" s="12">
        <f t="shared" si="2"/>
        <v>0.1362915813</v>
      </c>
      <c r="G21" s="10"/>
      <c r="H21" s="10"/>
      <c r="I21" s="8"/>
      <c r="J21" s="12"/>
    </row>
    <row r="22" ht="15.75" customHeight="1">
      <c r="A22" s="8">
        <v>2.0</v>
      </c>
      <c r="B22" s="9">
        <v>100000.0</v>
      </c>
      <c r="C22" s="10">
        <v>0.0012920685</v>
      </c>
      <c r="D22" s="11">
        <v>0.804259890106667</v>
      </c>
      <c r="E22" s="12">
        <f t="shared" si="2"/>
        <v>0.06419164127</v>
      </c>
      <c r="G22" s="10"/>
      <c r="H22" s="10"/>
      <c r="I22" s="8"/>
      <c r="J22" s="12"/>
    </row>
    <row r="23" ht="15.75" customHeight="1">
      <c r="A23" s="8">
        <v>2.0</v>
      </c>
      <c r="B23" s="9">
        <v>1000000.0</v>
      </c>
      <c r="C23" s="10">
        <v>0.013315491</v>
      </c>
      <c r="D23" s="11">
        <v>0.804569924273333</v>
      </c>
      <c r="E23" s="12">
        <f t="shared" si="2"/>
        <v>0.02566738382</v>
      </c>
      <c r="G23" s="10"/>
      <c r="H23" s="10"/>
      <c r="I23" s="8"/>
      <c r="J23" s="12"/>
    </row>
    <row r="24" ht="15.75" customHeight="1">
      <c r="A24" s="8">
        <v>2.0</v>
      </c>
      <c r="B24" s="9">
        <v>1.0E7</v>
      </c>
      <c r="C24" s="10">
        <v>0.1340482975</v>
      </c>
      <c r="D24" s="11">
        <v>0.804735763863333</v>
      </c>
      <c r="E24" s="12">
        <f t="shared" si="2"/>
        <v>0.005060470946</v>
      </c>
      <c r="G24" s="10"/>
      <c r="H24" s="10"/>
      <c r="I24" s="8"/>
      <c r="J24" s="12"/>
    </row>
    <row r="25" ht="15.75" customHeight="1">
      <c r="A25" s="8">
        <v>2.0</v>
      </c>
      <c r="B25" s="9">
        <v>1.0E8</v>
      </c>
      <c r="C25" s="10">
        <v>1.361864202</v>
      </c>
      <c r="D25" s="11">
        <v>0.804804988333334</v>
      </c>
      <c r="E25" s="12">
        <f t="shared" si="2"/>
        <v>0.003541230386</v>
      </c>
      <c r="G25" s="10"/>
      <c r="H25" s="10"/>
      <c r="I25" s="8"/>
      <c r="J25" s="12"/>
    </row>
    <row r="26" ht="15.75" customHeight="1">
      <c r="A26" s="8">
        <v>2.0</v>
      </c>
      <c r="B26" s="9">
        <v>1.0E9</v>
      </c>
      <c r="C26" s="10">
        <v>13.703932071</v>
      </c>
      <c r="D26" s="11">
        <v>0.804773802626667</v>
      </c>
      <c r="E26" s="12">
        <f t="shared" si="2"/>
        <v>0.0003338463691</v>
      </c>
      <c r="G26" s="10"/>
      <c r="H26" s="10"/>
      <c r="I26" s="8"/>
      <c r="J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4.0"/>
    <col customWidth="1" min="4" max="4" width="17.0"/>
    <col customWidth="1" min="5" max="5" width="18.0"/>
    <col customWidth="1" min="6" max="6" width="3.0"/>
    <col customWidth="1" min="7" max="8" width="20.0"/>
    <col customWidth="1" min="9" max="9" width="24.0"/>
    <col customWidth="1" min="10" max="10" width="28.0"/>
  </cols>
  <sheetData>
    <row r="1">
      <c r="A1" s="1" t="s">
        <v>13</v>
      </c>
    </row>
    <row r="2">
      <c r="A2" s="2"/>
    </row>
    <row r="4">
      <c r="A4" s="3" t="s">
        <v>1</v>
      </c>
      <c r="D4" s="4">
        <v>0.882081390762422</v>
      </c>
      <c r="E4" s="2" t="s">
        <v>2</v>
      </c>
    </row>
    <row r="5">
      <c r="A5" s="3" t="s">
        <v>3</v>
      </c>
      <c r="D5" s="4">
        <v>0.804776489343756</v>
      </c>
      <c r="E5" s="2" t="s">
        <v>4</v>
      </c>
    </row>
    <row r="7">
      <c r="A7" s="5" t="s">
        <v>5</v>
      </c>
      <c r="G7" s="5"/>
    </row>
    <row r="8" ht="31.5" customHeight="1">
      <c r="A8" s="6" t="s">
        <v>6</v>
      </c>
      <c r="B8" s="6" t="s">
        <v>7</v>
      </c>
      <c r="C8" s="6" t="s">
        <v>8</v>
      </c>
      <c r="D8" s="6" t="s">
        <v>9</v>
      </c>
      <c r="E8" s="6" t="s">
        <v>10</v>
      </c>
      <c r="G8" s="7"/>
      <c r="H8" s="7"/>
      <c r="I8" s="7"/>
      <c r="J8" s="7"/>
    </row>
    <row r="9">
      <c r="A9" s="8">
        <v>4.0</v>
      </c>
      <c r="B9" s="9">
        <v>1000.0</v>
      </c>
      <c r="C9" s="10">
        <v>6.006E-6</v>
      </c>
      <c r="D9" s="11">
        <v>0.879784256686667</v>
      </c>
      <c r="E9" s="12">
        <f t="shared" ref="E9:E15" si="1">ABS(D9-$D$4)/$D$4*100</f>
        <v>0.2604220087</v>
      </c>
      <c r="G9" s="10"/>
      <c r="H9" s="10"/>
      <c r="I9" s="8"/>
      <c r="J9" s="12"/>
    </row>
    <row r="10">
      <c r="A10" s="8">
        <v>4.0</v>
      </c>
      <c r="B10" s="9">
        <v>10000.0</v>
      </c>
      <c r="C10" s="10">
        <v>3.12935E-5</v>
      </c>
      <c r="D10" s="11">
        <v>0.881980369853333</v>
      </c>
      <c r="E10" s="12">
        <f t="shared" si="1"/>
        <v>0.01145256097</v>
      </c>
      <c r="G10" s="10"/>
      <c r="H10" s="10"/>
      <c r="I10" s="8"/>
      <c r="J10" s="12"/>
    </row>
    <row r="11">
      <c r="A11" s="8">
        <v>4.0</v>
      </c>
      <c r="B11" s="9">
        <v>100000.0</v>
      </c>
      <c r="C11" s="10">
        <v>2.84945E-4</v>
      </c>
      <c r="D11" s="11">
        <v>0.882147092343333</v>
      </c>
      <c r="E11" s="12">
        <f t="shared" si="1"/>
        <v>0.00744847149</v>
      </c>
      <c r="G11" s="10"/>
      <c r="H11" s="10"/>
      <c r="I11" s="8"/>
      <c r="J11" s="12"/>
    </row>
    <row r="12">
      <c r="A12" s="8">
        <v>4.0</v>
      </c>
      <c r="B12" s="9">
        <v>1000000.0</v>
      </c>
      <c r="C12" s="10">
        <v>0.002800879</v>
      </c>
      <c r="D12" s="11">
        <v>0.882096102283333</v>
      </c>
      <c r="E12" s="12">
        <f t="shared" si="1"/>
        <v>0.001667818986</v>
      </c>
      <c r="G12" s="10"/>
      <c r="H12" s="10"/>
      <c r="I12" s="8"/>
      <c r="J12" s="12"/>
    </row>
    <row r="13">
      <c r="A13" s="8">
        <v>4.0</v>
      </c>
      <c r="B13" s="9">
        <v>1.0E7</v>
      </c>
      <c r="C13" s="10">
        <v>0.028194386</v>
      </c>
      <c r="D13" s="11">
        <v>0.8820814184</v>
      </c>
      <c r="E13" s="12">
        <f t="shared" si="1"/>
        <v>0.000003133223112</v>
      </c>
      <c r="G13" s="10"/>
      <c r="H13" s="10"/>
      <c r="I13" s="8"/>
      <c r="J13" s="12"/>
    </row>
    <row r="14">
      <c r="A14" s="8">
        <v>4.0</v>
      </c>
      <c r="B14" s="9">
        <v>1.0E8</v>
      </c>
      <c r="C14" s="10">
        <v>0.292391606</v>
      </c>
      <c r="D14" s="11">
        <v>0.882078730833333</v>
      </c>
      <c r="E14" s="12">
        <f t="shared" si="1"/>
        <v>0.0003015514347</v>
      </c>
      <c r="G14" s="10"/>
      <c r="H14" s="10"/>
      <c r="I14" s="8"/>
      <c r="J14" s="12"/>
    </row>
    <row r="15">
      <c r="A15" s="8">
        <v>4.0</v>
      </c>
      <c r="B15" s="9">
        <v>1.0E9</v>
      </c>
      <c r="C15" s="10">
        <v>3.0209700735</v>
      </c>
      <c r="D15" s="11">
        <v>0.882074173506667</v>
      </c>
      <c r="E15" s="12">
        <f t="shared" si="1"/>
        <v>0.0008182074614</v>
      </c>
      <c r="G15" s="10"/>
      <c r="H15" s="10"/>
      <c r="I15" s="8"/>
      <c r="J15" s="12"/>
    </row>
    <row r="18">
      <c r="A18" s="5" t="s">
        <v>11</v>
      </c>
      <c r="G18" s="5"/>
    </row>
    <row r="19" ht="31.5" customHeight="1">
      <c r="A19" s="6" t="s">
        <v>6</v>
      </c>
      <c r="B19" s="6" t="s">
        <v>7</v>
      </c>
      <c r="C19" s="6" t="s">
        <v>8</v>
      </c>
      <c r="D19" s="6" t="s">
        <v>9</v>
      </c>
      <c r="E19" s="6" t="s">
        <v>10</v>
      </c>
      <c r="G19" s="7"/>
      <c r="H19" s="7"/>
      <c r="I19" s="7"/>
      <c r="J19" s="7"/>
    </row>
    <row r="20">
      <c r="A20" s="8">
        <v>4.0</v>
      </c>
      <c r="B20" s="9">
        <v>1000.0</v>
      </c>
      <c r="C20" s="10">
        <v>1.375E-5</v>
      </c>
      <c r="D20" s="11">
        <v>0.801775560206667</v>
      </c>
      <c r="E20" s="12">
        <f t="shared" ref="E20:E26" si="2">ABS(D20-$D$5)/$D$5*100</f>
        <v>0.3728897622</v>
      </c>
      <c r="G20" s="10"/>
      <c r="H20" s="10"/>
      <c r="I20" s="8"/>
      <c r="J20" s="12"/>
    </row>
    <row r="21" ht="15.75" customHeight="1">
      <c r="A21" s="8">
        <v>4.0</v>
      </c>
      <c r="B21" s="9">
        <v>10000.0</v>
      </c>
      <c r="C21" s="10">
        <v>7.25205E-5</v>
      </c>
      <c r="D21" s="11">
        <v>0.80407799217</v>
      </c>
      <c r="E21" s="12">
        <f t="shared" si="2"/>
        <v>0.08679393384</v>
      </c>
      <c r="G21" s="10"/>
      <c r="H21" s="10"/>
      <c r="I21" s="8"/>
      <c r="J21" s="12"/>
    </row>
    <row r="22" ht="15.75" customHeight="1">
      <c r="A22" s="8">
        <v>4.0</v>
      </c>
      <c r="B22" s="9">
        <v>100000.0</v>
      </c>
      <c r="C22" s="10">
        <v>7.347535E-4</v>
      </c>
      <c r="D22" s="11">
        <v>0.804527086043333</v>
      </c>
      <c r="E22" s="12">
        <f t="shared" si="2"/>
        <v>0.03099038102</v>
      </c>
      <c r="G22" s="10"/>
      <c r="H22" s="10"/>
      <c r="I22" s="8"/>
      <c r="J22" s="12"/>
    </row>
    <row r="23" ht="15.75" customHeight="1">
      <c r="A23" s="8">
        <v>4.0</v>
      </c>
      <c r="B23" s="9">
        <v>1000000.0</v>
      </c>
      <c r="C23" s="10">
        <v>0.007331874</v>
      </c>
      <c r="D23" s="11">
        <v>0.804729615993333</v>
      </c>
      <c r="E23" s="12">
        <f t="shared" si="2"/>
        <v>0.00582439361</v>
      </c>
      <c r="G23" s="10"/>
      <c r="H23" s="10"/>
      <c r="I23" s="8"/>
      <c r="J23" s="12"/>
    </row>
    <row r="24" ht="15.75" customHeight="1">
      <c r="A24" s="8">
        <v>4.0</v>
      </c>
      <c r="B24" s="9">
        <v>1.0E7</v>
      </c>
      <c r="C24" s="10">
        <v>0.0736173885</v>
      </c>
      <c r="D24" s="11">
        <v>0.80478141903</v>
      </c>
      <c r="E24" s="12">
        <f t="shared" si="2"/>
        <v>0.0006125534616</v>
      </c>
      <c r="G24" s="10"/>
      <c r="H24" s="10"/>
      <c r="I24" s="8"/>
      <c r="J24" s="12"/>
    </row>
    <row r="25" ht="15.75" customHeight="1">
      <c r="A25" s="8">
        <v>4.0</v>
      </c>
      <c r="B25" s="9">
        <v>1.0E8</v>
      </c>
      <c r="C25" s="10">
        <v>0.7548879365</v>
      </c>
      <c r="D25" s="11">
        <v>0.804778506566667</v>
      </c>
      <c r="E25" s="12">
        <f t="shared" si="2"/>
        <v>0.0002506562925</v>
      </c>
      <c r="G25" s="10"/>
      <c r="H25" s="10"/>
      <c r="I25" s="8"/>
      <c r="J25" s="12"/>
    </row>
    <row r="26" ht="15.75" customHeight="1">
      <c r="A26" s="8">
        <v>4.0</v>
      </c>
      <c r="B26" s="9">
        <v>1.0E9</v>
      </c>
      <c r="C26" s="10">
        <v>7.6453305675</v>
      </c>
      <c r="D26" s="11">
        <v>0.804778152526667</v>
      </c>
      <c r="E26" s="12">
        <f t="shared" si="2"/>
        <v>0.0002066639537</v>
      </c>
      <c r="G26" s="10"/>
      <c r="H26" s="10"/>
      <c r="I26" s="8"/>
      <c r="J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4.0"/>
    <col customWidth="1" min="4" max="4" width="17.0"/>
    <col customWidth="1" min="5" max="5" width="18.0"/>
    <col customWidth="1" min="6" max="6" width="3.0"/>
    <col customWidth="1" min="7" max="8" width="20.0"/>
    <col customWidth="1" min="9" max="9" width="24.0"/>
    <col customWidth="1" min="10" max="10" width="28.0"/>
  </cols>
  <sheetData>
    <row r="1">
      <c r="A1" s="1" t="s">
        <v>14</v>
      </c>
    </row>
    <row r="2">
      <c r="A2" s="2"/>
    </row>
    <row r="4">
      <c r="A4" s="3" t="s">
        <v>1</v>
      </c>
      <c r="D4" s="4">
        <v>0.882081390762422</v>
      </c>
      <c r="E4" s="2" t="s">
        <v>2</v>
      </c>
    </row>
    <row r="5">
      <c r="A5" s="3" t="s">
        <v>3</v>
      </c>
      <c r="D5" s="4">
        <v>0.804776489343756</v>
      </c>
      <c r="E5" s="2" t="s">
        <v>4</v>
      </c>
    </row>
    <row r="7">
      <c r="A7" s="5" t="s">
        <v>5</v>
      </c>
      <c r="G7" s="5"/>
    </row>
    <row r="8" ht="31.5" customHeight="1">
      <c r="A8" s="6" t="s">
        <v>6</v>
      </c>
      <c r="B8" s="6" t="s">
        <v>7</v>
      </c>
      <c r="C8" s="6" t="s">
        <v>8</v>
      </c>
      <c r="D8" s="6" t="s">
        <v>9</v>
      </c>
      <c r="E8" s="6" t="s">
        <v>10</v>
      </c>
      <c r="G8" s="7"/>
      <c r="H8" s="7"/>
      <c r="I8" s="7"/>
      <c r="J8" s="7"/>
    </row>
    <row r="9">
      <c r="A9" s="8">
        <v>8.0</v>
      </c>
      <c r="B9" s="9">
        <v>1000.0</v>
      </c>
      <c r="C9" s="10">
        <v>1.2118E-5</v>
      </c>
      <c r="D9" s="11">
        <v>0.877344684923333</v>
      </c>
      <c r="E9" s="12">
        <f t="shared" ref="E9:E15" si="1">ABS(D9-$D$4)/$D$4*100</f>
        <v>0.5369919249</v>
      </c>
      <c r="G9" s="10"/>
      <c r="H9" s="10"/>
      <c r="I9" s="8"/>
      <c r="J9" s="12"/>
    </row>
    <row r="10">
      <c r="A10" s="8">
        <v>8.0</v>
      </c>
      <c r="B10" s="9">
        <v>10000.0</v>
      </c>
      <c r="C10" s="10">
        <v>2.2953E-5</v>
      </c>
      <c r="D10" s="11">
        <v>0.881299878643333</v>
      </c>
      <c r="E10" s="12">
        <f t="shared" si="1"/>
        <v>0.08859864036</v>
      </c>
      <c r="G10" s="10"/>
      <c r="H10" s="10"/>
      <c r="I10" s="8"/>
      <c r="J10" s="12"/>
    </row>
    <row r="11">
      <c r="A11" s="8">
        <v>8.0</v>
      </c>
      <c r="B11" s="9">
        <v>100000.0</v>
      </c>
      <c r="C11" s="10">
        <v>1.692275E-4</v>
      </c>
      <c r="D11" s="11">
        <v>0.88212153485</v>
      </c>
      <c r="E11" s="12">
        <f t="shared" si="1"/>
        <v>0.004551063881</v>
      </c>
      <c r="G11" s="10"/>
      <c r="H11" s="10"/>
      <c r="I11" s="8"/>
      <c r="J11" s="12"/>
    </row>
    <row r="12">
      <c r="A12" s="8">
        <v>8.0</v>
      </c>
      <c r="B12" s="9">
        <v>1000000.0</v>
      </c>
      <c r="C12" s="10">
        <v>0.0018756085</v>
      </c>
      <c r="D12" s="11">
        <v>0.88201893805</v>
      </c>
      <c r="E12" s="12">
        <f t="shared" si="1"/>
        <v>0.007080153042</v>
      </c>
      <c r="G12" s="10"/>
      <c r="H12" s="10"/>
      <c r="I12" s="8"/>
      <c r="J12" s="12"/>
    </row>
    <row r="13">
      <c r="A13" s="8">
        <v>8.0</v>
      </c>
      <c r="B13" s="9">
        <v>1.0E7</v>
      </c>
      <c r="C13" s="10">
        <v>0.01646619</v>
      </c>
      <c r="D13" s="11">
        <v>0.88205613243</v>
      </c>
      <c r="E13" s="12">
        <f t="shared" si="1"/>
        <v>0.002863492268</v>
      </c>
      <c r="G13" s="10"/>
      <c r="H13" s="10"/>
      <c r="I13" s="8"/>
      <c r="J13" s="12"/>
    </row>
    <row r="14">
      <c r="A14" s="8">
        <v>8.0</v>
      </c>
      <c r="B14" s="9">
        <v>1.0E8</v>
      </c>
      <c r="C14" s="10">
        <v>0.1644387265</v>
      </c>
      <c r="D14" s="11">
        <v>0.882093696036667</v>
      </c>
      <c r="E14" s="12">
        <f t="shared" si="1"/>
        <v>0.001395027077</v>
      </c>
      <c r="G14" s="10"/>
      <c r="H14" s="10"/>
      <c r="I14" s="8"/>
      <c r="J14" s="12"/>
    </row>
    <row r="15">
      <c r="A15" s="8">
        <v>8.0</v>
      </c>
      <c r="B15" s="9">
        <v>1.0E9</v>
      </c>
      <c r="C15" s="10">
        <v>1.7449357395</v>
      </c>
      <c r="D15" s="11">
        <v>0.882086618653333</v>
      </c>
      <c r="E15" s="12">
        <f t="shared" si="1"/>
        <v>0.0005926767037</v>
      </c>
      <c r="G15" s="10"/>
      <c r="H15" s="10"/>
      <c r="I15" s="8"/>
      <c r="J15" s="12"/>
    </row>
    <row r="18">
      <c r="A18" s="5" t="s">
        <v>11</v>
      </c>
      <c r="G18" s="5"/>
    </row>
    <row r="19" ht="31.5" customHeight="1">
      <c r="A19" s="6" t="s">
        <v>6</v>
      </c>
      <c r="B19" s="6" t="s">
        <v>7</v>
      </c>
      <c r="C19" s="6" t="s">
        <v>8</v>
      </c>
      <c r="D19" s="6" t="s">
        <v>9</v>
      </c>
      <c r="E19" s="6" t="s">
        <v>10</v>
      </c>
      <c r="G19" s="7"/>
      <c r="H19" s="7"/>
      <c r="I19" s="7"/>
      <c r="J19" s="7"/>
    </row>
    <row r="20">
      <c r="A20" s="8">
        <v>8.0</v>
      </c>
      <c r="B20" s="9">
        <v>1000.0</v>
      </c>
      <c r="C20" s="10">
        <v>1.68615E-5</v>
      </c>
      <c r="D20" s="11">
        <v>0.803878902656667</v>
      </c>
      <c r="E20" s="12">
        <f t="shared" ref="E20:E26" si="2">ABS(D20-$D$5)/$D$5*100</f>
        <v>0.1115324191</v>
      </c>
      <c r="G20" s="10"/>
      <c r="H20" s="10"/>
      <c r="I20" s="8"/>
      <c r="J20" s="12"/>
    </row>
    <row r="21" ht="15.75" customHeight="1">
      <c r="A21" s="8">
        <v>8.0</v>
      </c>
      <c r="B21" s="9">
        <v>10000.0</v>
      </c>
      <c r="C21" s="10">
        <v>5.19075E-5</v>
      </c>
      <c r="D21" s="11">
        <v>0.804897336126667</v>
      </c>
      <c r="E21" s="12">
        <f t="shared" si="2"/>
        <v>0.01501619201</v>
      </c>
      <c r="G21" s="10"/>
      <c r="H21" s="10"/>
      <c r="I21" s="8"/>
      <c r="J21" s="12"/>
    </row>
    <row r="22" ht="15.75" customHeight="1">
      <c r="A22" s="8">
        <v>8.0</v>
      </c>
      <c r="B22" s="9">
        <v>100000.0</v>
      </c>
      <c r="C22" s="10">
        <v>4.00727E-4</v>
      </c>
      <c r="D22" s="11">
        <v>0.80512496379</v>
      </c>
      <c r="E22" s="12">
        <f t="shared" si="2"/>
        <v>0.04330077368</v>
      </c>
      <c r="G22" s="10"/>
      <c r="H22" s="10"/>
      <c r="I22" s="8"/>
      <c r="J22" s="12"/>
    </row>
    <row r="23" ht="15.75" customHeight="1">
      <c r="A23" s="8">
        <v>8.0</v>
      </c>
      <c r="B23" s="9">
        <v>1000000.0</v>
      </c>
      <c r="C23" s="10">
        <v>0.004315265</v>
      </c>
      <c r="D23" s="11">
        <v>0.80465435895</v>
      </c>
      <c r="E23" s="12">
        <f t="shared" si="2"/>
        <v>0.01517569106</v>
      </c>
      <c r="G23" s="10"/>
      <c r="H23" s="10"/>
      <c r="I23" s="8"/>
      <c r="J23" s="12"/>
    </row>
    <row r="24" ht="15.75" customHeight="1">
      <c r="A24" s="8">
        <v>8.0</v>
      </c>
      <c r="B24" s="9">
        <v>1.0E7</v>
      </c>
      <c r="C24" s="10">
        <v>0.041627497</v>
      </c>
      <c r="D24" s="11">
        <v>0.804805566476667</v>
      </c>
      <c r="E24" s="12">
        <f t="shared" si="2"/>
        <v>0.00361306938</v>
      </c>
      <c r="G24" s="10"/>
      <c r="H24" s="10"/>
      <c r="I24" s="8"/>
      <c r="J24" s="12"/>
    </row>
    <row r="25" ht="15.75" customHeight="1">
      <c r="A25" s="8">
        <v>8.0</v>
      </c>
      <c r="B25" s="9">
        <v>1.0E8</v>
      </c>
      <c r="C25" s="10">
        <v>0.4278931525</v>
      </c>
      <c r="D25" s="11">
        <v>0.804765672176667</v>
      </c>
      <c r="E25" s="12">
        <f t="shared" si="2"/>
        <v>0.001344120664</v>
      </c>
      <c r="G25" s="10"/>
      <c r="H25" s="10"/>
      <c r="I25" s="8"/>
      <c r="J25" s="12"/>
    </row>
    <row r="26" ht="15.75" customHeight="1">
      <c r="A26" s="8">
        <v>8.0</v>
      </c>
      <c r="B26" s="9">
        <v>1.0E9</v>
      </c>
      <c r="C26" s="10">
        <v>4.346741741</v>
      </c>
      <c r="D26" s="11">
        <v>0.804778519513333</v>
      </c>
      <c r="E26" s="12">
        <f t="shared" si="2"/>
        <v>0.0002522650206</v>
      </c>
      <c r="G26" s="10"/>
      <c r="H26" s="10"/>
      <c r="I26" s="8"/>
      <c r="J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4.0"/>
    <col customWidth="1" min="4" max="4" width="17.0"/>
    <col customWidth="1" min="5" max="5" width="18.0"/>
    <col customWidth="1" min="6" max="6" width="3.0"/>
    <col customWidth="1" min="7" max="8" width="20.0"/>
    <col customWidth="1" min="9" max="9" width="24.0"/>
    <col customWidth="1" min="10" max="10" width="28.0"/>
  </cols>
  <sheetData>
    <row r="1">
      <c r="A1" s="1" t="s">
        <v>15</v>
      </c>
    </row>
    <row r="2">
      <c r="A2" s="2"/>
    </row>
    <row r="4">
      <c r="A4" s="3" t="s">
        <v>1</v>
      </c>
      <c r="D4" s="4">
        <v>0.882081390762422</v>
      </c>
      <c r="E4" s="2" t="s">
        <v>2</v>
      </c>
    </row>
    <row r="5">
      <c r="A5" s="3" t="s">
        <v>3</v>
      </c>
      <c r="D5" s="4">
        <v>0.804776489343756</v>
      </c>
      <c r="E5" s="2" t="s">
        <v>4</v>
      </c>
    </row>
    <row r="7">
      <c r="A7" s="5" t="s">
        <v>5</v>
      </c>
      <c r="G7" s="5"/>
    </row>
    <row r="8" ht="31.5" customHeight="1">
      <c r="A8" s="6" t="s">
        <v>6</v>
      </c>
      <c r="B8" s="6" t="s">
        <v>7</v>
      </c>
      <c r="C8" s="6" t="s">
        <v>8</v>
      </c>
      <c r="D8" s="6" t="s">
        <v>9</v>
      </c>
      <c r="E8" s="6" t="s">
        <v>10</v>
      </c>
      <c r="G8" s="7"/>
      <c r="H8" s="7"/>
      <c r="I8" s="7"/>
      <c r="J8" s="7"/>
    </row>
    <row r="9">
      <c r="A9" s="8">
        <v>12.0</v>
      </c>
      <c r="B9" s="9">
        <v>1000.0</v>
      </c>
      <c r="C9" s="10">
        <v>2.00375E-5</v>
      </c>
      <c r="D9" s="11">
        <v>0.890762306336667</v>
      </c>
      <c r="E9" s="12">
        <f t="shared" ref="E9:E15" si="1">ABS(D9-$D$4)/$D$4*100</f>
        <v>0.9841399745</v>
      </c>
      <c r="G9" s="10"/>
      <c r="H9" s="10"/>
      <c r="I9" s="8"/>
      <c r="J9" s="12"/>
    </row>
    <row r="10">
      <c r="A10" s="8">
        <v>12.0</v>
      </c>
      <c r="B10" s="9">
        <v>10000.0</v>
      </c>
      <c r="C10" s="10">
        <v>3.78815E-5</v>
      </c>
      <c r="D10" s="11">
        <v>0.882012644136667</v>
      </c>
      <c r="E10" s="12">
        <f t="shared" si="1"/>
        <v>0.007793682814</v>
      </c>
      <c r="G10" s="10"/>
      <c r="H10" s="10"/>
      <c r="I10" s="8"/>
      <c r="J10" s="12"/>
    </row>
    <row r="11">
      <c r="A11" s="8">
        <v>12.0</v>
      </c>
      <c r="B11" s="9">
        <v>100000.0</v>
      </c>
      <c r="C11" s="10">
        <v>2.69222E-4</v>
      </c>
      <c r="D11" s="11">
        <v>0.882202336846667</v>
      </c>
      <c r="E11" s="12">
        <f t="shared" si="1"/>
        <v>0.01371144268</v>
      </c>
      <c r="G11" s="10"/>
      <c r="H11" s="10"/>
      <c r="I11" s="8"/>
      <c r="J11" s="12"/>
    </row>
    <row r="12">
      <c r="A12" s="8">
        <v>12.0</v>
      </c>
      <c r="B12" s="9">
        <v>1000000.0</v>
      </c>
      <c r="C12" s="10">
        <v>0.002615716</v>
      </c>
      <c r="D12" s="11">
        <v>0.881968204596667</v>
      </c>
      <c r="E12" s="12">
        <f t="shared" si="1"/>
        <v>0.0128317145</v>
      </c>
      <c r="G12" s="10"/>
      <c r="H12" s="10"/>
      <c r="I12" s="8"/>
      <c r="J12" s="12"/>
    </row>
    <row r="13">
      <c r="A13" s="8">
        <v>12.0</v>
      </c>
      <c r="B13" s="9">
        <v>1.0E7</v>
      </c>
      <c r="C13" s="10">
        <v>0.020929311</v>
      </c>
      <c r="D13" s="11">
        <v>0.88213444424</v>
      </c>
      <c r="E13" s="12">
        <f t="shared" si="1"/>
        <v>0.006014578488</v>
      </c>
      <c r="G13" s="10"/>
      <c r="H13" s="10"/>
      <c r="I13" s="8"/>
      <c r="J13" s="12"/>
    </row>
    <row r="14">
      <c r="A14" s="8">
        <v>12.0</v>
      </c>
      <c r="B14" s="9">
        <v>1.0E8</v>
      </c>
      <c r="C14" s="10">
        <v>0.2058088105</v>
      </c>
      <c r="D14" s="11">
        <v>0.88210706805</v>
      </c>
      <c r="E14" s="12">
        <f t="shared" si="1"/>
        <v>0.00291098847</v>
      </c>
      <c r="G14" s="10"/>
      <c r="H14" s="10"/>
      <c r="I14" s="8"/>
      <c r="J14" s="12"/>
    </row>
    <row r="15">
      <c r="A15" s="8">
        <v>12.0</v>
      </c>
      <c r="B15" s="9">
        <v>1.0E9</v>
      </c>
      <c r="C15" s="10">
        <v>2.284145098</v>
      </c>
      <c r="D15" s="11">
        <v>0.88207867014</v>
      </c>
      <c r="E15" s="12">
        <f t="shared" si="1"/>
        <v>0.00030843213</v>
      </c>
      <c r="G15" s="10"/>
      <c r="H15" s="10"/>
      <c r="I15" s="8"/>
      <c r="J15" s="12"/>
    </row>
    <row r="18">
      <c r="A18" s="5" t="s">
        <v>11</v>
      </c>
      <c r="G18" s="5"/>
    </row>
    <row r="19" ht="31.5" customHeight="1">
      <c r="A19" s="6" t="s">
        <v>6</v>
      </c>
      <c r="B19" s="6" t="s">
        <v>7</v>
      </c>
      <c r="C19" s="6" t="s">
        <v>8</v>
      </c>
      <c r="D19" s="6" t="s">
        <v>9</v>
      </c>
      <c r="E19" s="6" t="s">
        <v>10</v>
      </c>
      <c r="G19" s="7"/>
      <c r="H19" s="7"/>
      <c r="I19" s="7"/>
      <c r="J19" s="7"/>
    </row>
    <row r="20">
      <c r="A20" s="8">
        <v>12.0</v>
      </c>
      <c r="B20" s="9">
        <v>1000.0</v>
      </c>
      <c r="C20" s="10">
        <v>2.08645E-5</v>
      </c>
      <c r="D20" s="11">
        <v>0.795924624883333</v>
      </c>
      <c r="E20" s="12">
        <f t="shared" ref="E20:E26" si="2">ABS(D20-$D$5)/$D$5*100</f>
        <v>1.099915887</v>
      </c>
      <c r="G20" s="10"/>
      <c r="H20" s="10"/>
      <c r="I20" s="8"/>
      <c r="J20" s="12"/>
    </row>
    <row r="21" ht="15.75" customHeight="1">
      <c r="A21" s="8">
        <v>12.0</v>
      </c>
      <c r="B21" s="9">
        <v>10000.0</v>
      </c>
      <c r="C21" s="10">
        <v>5.45175E-5</v>
      </c>
      <c r="D21" s="11">
        <v>0.803550971193333</v>
      </c>
      <c r="E21" s="12">
        <f t="shared" si="2"/>
        <v>0.1522805607</v>
      </c>
      <c r="G21" s="10"/>
      <c r="H21" s="10"/>
      <c r="I21" s="8"/>
      <c r="J21" s="12"/>
    </row>
    <row r="22" ht="15.75" customHeight="1">
      <c r="A22" s="8">
        <v>12.0</v>
      </c>
      <c r="B22" s="9">
        <v>100000.0</v>
      </c>
      <c r="C22" s="10">
        <v>5.10431E-4</v>
      </c>
      <c r="D22" s="11">
        <v>0.804120435813333</v>
      </c>
      <c r="E22" s="12">
        <f t="shared" si="2"/>
        <v>0.08151996723</v>
      </c>
      <c r="G22" s="10"/>
      <c r="H22" s="10"/>
      <c r="I22" s="8"/>
      <c r="J22" s="12"/>
    </row>
    <row r="23" ht="15.75" customHeight="1">
      <c r="A23" s="8">
        <v>12.0</v>
      </c>
      <c r="B23" s="9">
        <v>1000000.0</v>
      </c>
      <c r="C23" s="10">
        <v>0.0037130375</v>
      </c>
      <c r="D23" s="11">
        <v>0.804703664513333</v>
      </c>
      <c r="E23" s="12">
        <f t="shared" si="2"/>
        <v>0.009049075288</v>
      </c>
      <c r="G23" s="10"/>
      <c r="H23" s="10"/>
      <c r="I23" s="8"/>
      <c r="J23" s="12"/>
    </row>
    <row r="24" ht="15.75" customHeight="1">
      <c r="A24" s="8">
        <v>12.0</v>
      </c>
      <c r="B24" s="9">
        <v>1.0E7</v>
      </c>
      <c r="C24" s="10">
        <v>0.0373310245</v>
      </c>
      <c r="D24" s="11">
        <v>0.80472195423</v>
      </c>
      <c r="E24" s="12">
        <f t="shared" si="2"/>
        <v>0.006776429789</v>
      </c>
      <c r="G24" s="10"/>
      <c r="H24" s="10"/>
      <c r="I24" s="8"/>
      <c r="J24" s="12"/>
    </row>
    <row r="25" ht="15.75" customHeight="1">
      <c r="A25" s="8">
        <v>12.0</v>
      </c>
      <c r="B25" s="9">
        <v>1.0E8</v>
      </c>
      <c r="C25" s="10">
        <v>0.3862811005</v>
      </c>
      <c r="D25" s="11">
        <v>0.804767244973333</v>
      </c>
      <c r="E25" s="12">
        <f t="shared" si="2"/>
        <v>0.001148687933</v>
      </c>
      <c r="G25" s="10"/>
      <c r="H25" s="10"/>
      <c r="I25" s="8"/>
      <c r="J25" s="12"/>
    </row>
    <row r="26" ht="15.75" customHeight="1">
      <c r="A26" s="8">
        <v>12.0</v>
      </c>
      <c r="B26" s="9">
        <v>1.0E9</v>
      </c>
      <c r="C26" s="10">
        <v>4.1331954655</v>
      </c>
      <c r="D26" s="11">
        <v>0.804770783946667</v>
      </c>
      <c r="E26" s="12">
        <f t="shared" si="2"/>
        <v>0.0007089418198</v>
      </c>
      <c r="G26" s="10"/>
      <c r="H26" s="10"/>
      <c r="I26" s="8"/>
      <c r="J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4.0"/>
    <col customWidth="1" min="4" max="4" width="17.0"/>
    <col customWidth="1" min="5" max="5" width="18.0"/>
    <col customWidth="1" min="6" max="6" width="3.0"/>
    <col customWidth="1" min="7" max="8" width="20.0"/>
    <col customWidth="1" min="9" max="9" width="24.0"/>
    <col customWidth="1" min="10" max="10" width="28.0"/>
  </cols>
  <sheetData>
    <row r="1">
      <c r="A1" s="1" t="s">
        <v>16</v>
      </c>
    </row>
    <row r="2">
      <c r="A2" s="2"/>
    </row>
    <row r="4">
      <c r="A4" s="3" t="s">
        <v>1</v>
      </c>
      <c r="D4" s="4">
        <v>0.882081390762422</v>
      </c>
      <c r="E4" s="2" t="s">
        <v>2</v>
      </c>
    </row>
    <row r="5">
      <c r="A5" s="3" t="s">
        <v>3</v>
      </c>
      <c r="D5" s="4">
        <v>0.804776489343756</v>
      </c>
      <c r="E5" s="2" t="s">
        <v>4</v>
      </c>
    </row>
    <row r="7">
      <c r="A7" s="5" t="s">
        <v>5</v>
      </c>
      <c r="G7" s="5"/>
    </row>
    <row r="8" ht="31.5" customHeight="1">
      <c r="A8" s="6" t="s">
        <v>6</v>
      </c>
      <c r="B8" s="6" t="s">
        <v>7</v>
      </c>
      <c r="C8" s="6" t="s">
        <v>8</v>
      </c>
      <c r="D8" s="6" t="s">
        <v>9</v>
      </c>
      <c r="E8" s="6" t="s">
        <v>10</v>
      </c>
      <c r="G8" s="7"/>
      <c r="H8" s="7"/>
      <c r="I8" s="7"/>
      <c r="J8" s="7"/>
    </row>
    <row r="9">
      <c r="A9" s="8">
        <v>16.0</v>
      </c>
      <c r="B9" s="9">
        <v>1000.0</v>
      </c>
      <c r="C9" s="10">
        <v>3.967E-5</v>
      </c>
      <c r="D9" s="11">
        <v>0.888048520996667</v>
      </c>
      <c r="E9" s="12">
        <f t="shared" ref="E9:E15" si="1">ABS(D9-$D$4)/$D$4*100</f>
        <v>0.6764829523</v>
      </c>
      <c r="G9" s="10"/>
      <c r="H9" s="10"/>
      <c r="I9" s="8"/>
      <c r="J9" s="12"/>
    </row>
    <row r="10">
      <c r="A10" s="8">
        <v>16.0</v>
      </c>
      <c r="B10" s="9">
        <v>10000.0</v>
      </c>
      <c r="C10" s="10">
        <v>5.9963E-5</v>
      </c>
      <c r="D10" s="11">
        <v>0.88175597145</v>
      </c>
      <c r="E10" s="12">
        <f t="shared" si="1"/>
        <v>0.03689220925</v>
      </c>
      <c r="G10" s="10"/>
      <c r="H10" s="10"/>
      <c r="I10" s="8"/>
      <c r="J10" s="12"/>
    </row>
    <row r="11">
      <c r="A11" s="8">
        <v>16.0</v>
      </c>
      <c r="B11" s="9">
        <v>100000.0</v>
      </c>
      <c r="C11" s="10">
        <v>3.39279E-4</v>
      </c>
      <c r="D11" s="11">
        <v>0.88238759843</v>
      </c>
      <c r="E11" s="12">
        <f t="shared" si="1"/>
        <v>0.03471421921</v>
      </c>
      <c r="G11" s="10"/>
      <c r="H11" s="10"/>
      <c r="I11" s="8"/>
      <c r="J11" s="12"/>
    </row>
    <row r="12">
      <c r="A12" s="8">
        <v>16.0</v>
      </c>
      <c r="B12" s="9">
        <v>1000000.0</v>
      </c>
      <c r="C12" s="10">
        <v>0.0030407415</v>
      </c>
      <c r="D12" s="11">
        <v>0.88211124555</v>
      </c>
      <c r="E12" s="12">
        <f t="shared" si="1"/>
        <v>0.003384584222</v>
      </c>
      <c r="G12" s="10"/>
      <c r="H12" s="10"/>
      <c r="I12" s="8"/>
      <c r="J12" s="12"/>
    </row>
    <row r="13">
      <c r="A13" s="8">
        <v>16.0</v>
      </c>
      <c r="B13" s="9">
        <v>1.0E7</v>
      </c>
      <c r="C13" s="10">
        <v>0.0236251425</v>
      </c>
      <c r="D13" s="11">
        <v>0.882104558933333</v>
      </c>
      <c r="E13" s="12">
        <f t="shared" si="1"/>
        <v>0.002626534371</v>
      </c>
      <c r="G13" s="10"/>
      <c r="H13" s="10"/>
      <c r="I13" s="8"/>
      <c r="J13" s="12"/>
    </row>
    <row r="14">
      <c r="A14" s="8">
        <v>16.0</v>
      </c>
      <c r="B14" s="9">
        <v>1.0E8</v>
      </c>
      <c r="C14" s="10">
        <v>0.1975884435</v>
      </c>
      <c r="D14" s="11">
        <v>0.882082370763333</v>
      </c>
      <c r="E14" s="12">
        <f t="shared" si="1"/>
        <v>0.000111100962</v>
      </c>
      <c r="G14" s="10"/>
      <c r="H14" s="10"/>
      <c r="I14" s="8"/>
      <c r="J14" s="12"/>
    </row>
    <row r="15">
      <c r="A15" s="8">
        <v>16.0</v>
      </c>
      <c r="B15" s="9">
        <v>1.0E9</v>
      </c>
      <c r="C15" s="10">
        <v>1.926481137</v>
      </c>
      <c r="D15" s="11">
        <v>0.882086358076667</v>
      </c>
      <c r="E15" s="12">
        <f t="shared" si="1"/>
        <v>0.0005631355901</v>
      </c>
      <c r="G15" s="10"/>
      <c r="H15" s="10"/>
      <c r="I15" s="8"/>
      <c r="J15" s="12"/>
    </row>
    <row r="18">
      <c r="A18" s="5" t="s">
        <v>11</v>
      </c>
      <c r="G18" s="5"/>
    </row>
    <row r="19" ht="31.5" customHeight="1">
      <c r="A19" s="6" t="s">
        <v>6</v>
      </c>
      <c r="B19" s="6" t="s">
        <v>7</v>
      </c>
      <c r="C19" s="6" t="s">
        <v>8</v>
      </c>
      <c r="D19" s="6" t="s">
        <v>9</v>
      </c>
      <c r="E19" s="6" t="s">
        <v>10</v>
      </c>
      <c r="G19" s="7"/>
      <c r="H19" s="7"/>
      <c r="I19" s="7"/>
      <c r="J19" s="7"/>
    </row>
    <row r="20">
      <c r="A20" s="8">
        <v>16.0</v>
      </c>
      <c r="B20" s="9">
        <v>1000.0</v>
      </c>
      <c r="C20" s="10">
        <v>4.2024E-5</v>
      </c>
      <c r="D20" s="11">
        <v>0.813882035916667</v>
      </c>
      <c r="E20" s="12">
        <f t="shared" ref="E20:E26" si="2">ABS(D20-$D$5)/$D$5*100</f>
        <v>1.131437945</v>
      </c>
      <c r="G20" s="10"/>
      <c r="H20" s="10"/>
      <c r="I20" s="8"/>
      <c r="J20" s="12"/>
    </row>
    <row r="21" ht="15.75" customHeight="1">
      <c r="A21" s="8">
        <v>16.0</v>
      </c>
      <c r="B21" s="9">
        <v>10000.0</v>
      </c>
      <c r="C21" s="10">
        <v>8.46595E-5</v>
      </c>
      <c r="D21" s="11">
        <v>0.80325665994</v>
      </c>
      <c r="E21" s="12">
        <f t="shared" si="2"/>
        <v>0.1888511188</v>
      </c>
      <c r="G21" s="10"/>
      <c r="H21" s="10"/>
      <c r="I21" s="8"/>
      <c r="J21" s="12"/>
    </row>
    <row r="22" ht="15.75" customHeight="1">
      <c r="A22" s="8">
        <v>16.0</v>
      </c>
      <c r="B22" s="9">
        <v>100000.0</v>
      </c>
      <c r="C22" s="10">
        <v>4.13574E-4</v>
      </c>
      <c r="D22" s="11">
        <v>0.804332280406667</v>
      </c>
      <c r="E22" s="12">
        <f t="shared" si="2"/>
        <v>0.05519655991</v>
      </c>
      <c r="G22" s="10"/>
      <c r="H22" s="10"/>
      <c r="I22" s="8"/>
      <c r="J22" s="12"/>
    </row>
    <row r="23" ht="15.75" customHeight="1">
      <c r="A23" s="8">
        <v>16.0</v>
      </c>
      <c r="B23" s="9">
        <v>1000000.0</v>
      </c>
      <c r="C23" s="10">
        <v>0.0052498325</v>
      </c>
      <c r="D23" s="11">
        <v>0.804918972283333</v>
      </c>
      <c r="E23" s="12">
        <f t="shared" si="2"/>
        <v>0.0177046598</v>
      </c>
      <c r="G23" s="10"/>
      <c r="H23" s="10"/>
      <c r="I23" s="8"/>
      <c r="J23" s="12"/>
    </row>
    <row r="24" ht="15.75" customHeight="1">
      <c r="A24" s="8">
        <v>16.0</v>
      </c>
      <c r="B24" s="9">
        <v>1.0E7</v>
      </c>
      <c r="C24" s="10">
        <v>0.0343642775</v>
      </c>
      <c r="D24" s="11">
        <v>0.80480569369</v>
      </c>
      <c r="E24" s="12">
        <f t="shared" si="2"/>
        <v>0.003628876667</v>
      </c>
      <c r="G24" s="10"/>
      <c r="H24" s="10"/>
      <c r="I24" s="8"/>
      <c r="J24" s="12"/>
    </row>
    <row r="25" ht="15.75" customHeight="1">
      <c r="A25" s="8">
        <v>16.0</v>
      </c>
      <c r="B25" s="9">
        <v>1.0E8</v>
      </c>
      <c r="C25" s="10">
        <v>0.3407978175</v>
      </c>
      <c r="D25" s="11">
        <v>0.804779385693333</v>
      </c>
      <c r="E25" s="12">
        <f t="shared" si="2"/>
        <v>0.0003598949044</v>
      </c>
      <c r="G25" s="10"/>
      <c r="H25" s="10"/>
      <c r="I25" s="8"/>
      <c r="J25" s="12"/>
    </row>
    <row r="26" ht="15.75" customHeight="1">
      <c r="A26" s="8">
        <v>16.0</v>
      </c>
      <c r="B26" s="9">
        <v>1.0E9</v>
      </c>
      <c r="C26" s="10">
        <v>3.4294838255</v>
      </c>
      <c r="D26" s="11">
        <v>0.80477712385</v>
      </c>
      <c r="E26" s="12">
        <f t="shared" si="2"/>
        <v>0.00007884254229</v>
      </c>
      <c r="G26" s="10"/>
      <c r="H26" s="10"/>
      <c r="I26" s="8"/>
      <c r="J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B1" s="13" t="s">
        <v>17</v>
      </c>
    </row>
    <row r="3">
      <c r="B3" s="14" t="s">
        <v>5</v>
      </c>
      <c r="C3" s="15"/>
    </row>
    <row r="4"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H4" s="6" t="s">
        <v>6</v>
      </c>
      <c r="I4" s="6" t="s">
        <v>7</v>
      </c>
      <c r="J4" s="6" t="s">
        <v>8</v>
      </c>
      <c r="K4" s="6" t="s">
        <v>9</v>
      </c>
      <c r="L4" s="6" t="s">
        <v>10</v>
      </c>
    </row>
    <row r="5">
      <c r="B5" s="16">
        <v>1.0</v>
      </c>
      <c r="C5" s="16">
        <v>1000.0</v>
      </c>
      <c r="D5" s="16">
        <v>1.7652E-5</v>
      </c>
      <c r="E5" s="16">
        <v>0.8845031919</v>
      </c>
      <c r="F5" s="17">
        <v>0.274555</v>
      </c>
      <c r="H5" s="18">
        <v>2.0</v>
      </c>
      <c r="I5" s="18">
        <v>1000.0</v>
      </c>
      <c r="J5" s="18">
        <v>1.1445E-5</v>
      </c>
      <c r="K5" s="18">
        <v>0.8881263607</v>
      </c>
      <c r="L5" s="19">
        <v>0.685308</v>
      </c>
    </row>
    <row r="6">
      <c r="B6" s="18">
        <v>1.0</v>
      </c>
      <c r="C6" s="18">
        <v>10000.0</v>
      </c>
      <c r="D6" s="18">
        <v>1.71739E-4</v>
      </c>
      <c r="E6" s="18">
        <v>0.882044484</v>
      </c>
      <c r="F6" s="19">
        <v>0.004184</v>
      </c>
      <c r="H6" s="16">
        <v>2.0</v>
      </c>
      <c r="I6" s="16">
        <v>10000.0</v>
      </c>
      <c r="J6" s="16">
        <v>8.8652E-5</v>
      </c>
      <c r="K6" s="16">
        <v>0.8805155618</v>
      </c>
      <c r="L6" s="17">
        <v>0.177515</v>
      </c>
    </row>
    <row r="7">
      <c r="B7" s="16">
        <v>1.0</v>
      </c>
      <c r="C7" s="16">
        <v>100000.0</v>
      </c>
      <c r="D7" s="16">
        <v>0.001730396</v>
      </c>
      <c r="E7" s="16">
        <v>0.8825597755</v>
      </c>
      <c r="F7" s="17">
        <v>0.054234</v>
      </c>
      <c r="H7" s="18">
        <v>2.0</v>
      </c>
      <c r="I7" s="18">
        <v>100000.0</v>
      </c>
      <c r="J7" s="18">
        <v>9.01442E-4</v>
      </c>
      <c r="K7" s="18">
        <v>0.8822508999</v>
      </c>
      <c r="L7" s="19">
        <v>0.019217</v>
      </c>
    </row>
    <row r="8">
      <c r="B8" s="18">
        <v>1.0</v>
      </c>
      <c r="C8" s="18">
        <v>1000000.0</v>
      </c>
      <c r="D8" s="18">
        <v>0.017030943</v>
      </c>
      <c r="E8" s="18">
        <v>0.8821398139</v>
      </c>
      <c r="F8" s="19">
        <v>0.006623</v>
      </c>
      <c r="H8" s="16">
        <v>2.0</v>
      </c>
      <c r="I8" s="16">
        <v>1000000.0</v>
      </c>
      <c r="J8" s="16">
        <v>0.008589577</v>
      </c>
      <c r="K8" s="16">
        <v>0.8819393157</v>
      </c>
      <c r="L8" s="17">
        <v>0.016107</v>
      </c>
    </row>
    <row r="9">
      <c r="B9" s="16">
        <v>1.0</v>
      </c>
      <c r="C9" s="16">
        <v>1.0E7</v>
      </c>
      <c r="D9" s="16">
        <v>0.170169696</v>
      </c>
      <c r="E9" s="16">
        <v>0.8820336489</v>
      </c>
      <c r="F9" s="17">
        <v>0.005412</v>
      </c>
      <c r="H9" s="18">
        <v>2.0</v>
      </c>
      <c r="I9" s="18">
        <v>1.0E7</v>
      </c>
      <c r="J9" s="18">
        <v>0.085306975</v>
      </c>
      <c r="K9" s="18">
        <v>0.882109326</v>
      </c>
      <c r="L9" s="19">
        <v>0.003167</v>
      </c>
    </row>
    <row r="10">
      <c r="B10" s="18">
        <v>1.0</v>
      </c>
      <c r="C10" s="18">
        <v>1.0E8</v>
      </c>
      <c r="D10" s="18">
        <v>1.702776718</v>
      </c>
      <c r="E10" s="18">
        <v>0.8820900404</v>
      </c>
      <c r="F10" s="19">
        <v>9.81E-4</v>
      </c>
      <c r="H10" s="16">
        <v>2.0</v>
      </c>
      <c r="I10" s="16">
        <v>1.0E8</v>
      </c>
      <c r="J10" s="16">
        <v>0.85563994</v>
      </c>
      <c r="K10" s="16">
        <v>0.882064576</v>
      </c>
      <c r="L10" s="17">
        <v>0.001906</v>
      </c>
    </row>
    <row r="11">
      <c r="B11" s="16">
        <v>1.0</v>
      </c>
      <c r="C11" s="16">
        <v>1.0E9</v>
      </c>
      <c r="D11" s="16">
        <v>17.004694404</v>
      </c>
      <c r="E11" s="16">
        <v>0.8820801846</v>
      </c>
      <c r="F11" s="17">
        <v>1.37E-4</v>
      </c>
      <c r="H11" s="18">
        <v>2.0</v>
      </c>
      <c r="I11" s="18">
        <v>1.0E9</v>
      </c>
      <c r="J11" s="18">
        <v>8.835655486</v>
      </c>
      <c r="K11" s="18">
        <v>0.8820785959</v>
      </c>
      <c r="L11" s="19">
        <v>3.17E-4</v>
      </c>
    </row>
    <row r="14">
      <c r="B14" s="6" t="s">
        <v>6</v>
      </c>
      <c r="C14" s="6" t="s">
        <v>7</v>
      </c>
      <c r="D14" s="6" t="s">
        <v>8</v>
      </c>
      <c r="E14" s="6" t="s">
        <v>9</v>
      </c>
      <c r="F14" s="6" t="s">
        <v>10</v>
      </c>
      <c r="H14" s="6" t="s">
        <v>6</v>
      </c>
      <c r="I14" s="6" t="s">
        <v>7</v>
      </c>
      <c r="J14" s="6" t="s">
        <v>8</v>
      </c>
      <c r="K14" s="6" t="s">
        <v>9</v>
      </c>
      <c r="L14" s="6" t="s">
        <v>10</v>
      </c>
    </row>
    <row r="15">
      <c r="B15" s="16">
        <v>4.0</v>
      </c>
      <c r="C15" s="16">
        <v>1000.0</v>
      </c>
      <c r="D15" s="16">
        <v>1.2912E-5</v>
      </c>
      <c r="E15" s="16">
        <v>0.8793856329</v>
      </c>
      <c r="F15" s="17">
        <v>0.305613</v>
      </c>
      <c r="H15" s="18">
        <v>6.0</v>
      </c>
      <c r="I15" s="18">
        <v>1000.0</v>
      </c>
      <c r="J15" s="18">
        <v>1.8452E-5</v>
      </c>
      <c r="K15" s="18">
        <v>0.8796631711</v>
      </c>
      <c r="L15" s="19">
        <v>0.274149</v>
      </c>
    </row>
    <row r="16">
      <c r="B16" s="18">
        <v>4.0</v>
      </c>
      <c r="C16" s="18">
        <v>10000.0</v>
      </c>
      <c r="D16" s="18">
        <v>5.2683E-5</v>
      </c>
      <c r="E16" s="18">
        <v>0.8814665034</v>
      </c>
      <c r="F16" s="19">
        <v>0.069709</v>
      </c>
      <c r="H16" s="16">
        <v>6.0</v>
      </c>
      <c r="I16" s="16">
        <v>10000.0</v>
      </c>
      <c r="J16" s="16">
        <v>4.2896E-5</v>
      </c>
      <c r="K16" s="16">
        <v>0.8821621278</v>
      </c>
      <c r="L16" s="17">
        <v>0.009153</v>
      </c>
    </row>
    <row r="17">
      <c r="B17" s="16">
        <v>4.0</v>
      </c>
      <c r="C17" s="16">
        <v>100000.0</v>
      </c>
      <c r="D17" s="16">
        <v>4.41652E-4</v>
      </c>
      <c r="E17" s="16">
        <v>0.8824478008</v>
      </c>
      <c r="F17" s="17">
        <v>0.041539</v>
      </c>
      <c r="H17" s="18">
        <v>6.0</v>
      </c>
      <c r="I17" s="18">
        <v>100000.0</v>
      </c>
      <c r="J17" s="18">
        <v>3.20426E-4</v>
      </c>
      <c r="K17" s="18">
        <v>0.8821633246</v>
      </c>
      <c r="L17" s="19">
        <v>0.009289</v>
      </c>
    </row>
    <row r="18">
      <c r="B18" s="18">
        <v>4.0</v>
      </c>
      <c r="C18" s="18">
        <v>1000000.0</v>
      </c>
      <c r="D18" s="18">
        <v>0.004333947</v>
      </c>
      <c r="E18" s="18">
        <v>0.8820150536</v>
      </c>
      <c r="F18" s="19">
        <v>0.007521</v>
      </c>
      <c r="H18" s="16">
        <v>6.0</v>
      </c>
      <c r="I18" s="16">
        <v>1000000.0</v>
      </c>
      <c r="J18" s="16">
        <v>0.002925411</v>
      </c>
      <c r="K18" s="16">
        <v>0.8818674326</v>
      </c>
      <c r="L18" s="17">
        <v>0.024256</v>
      </c>
    </row>
    <row r="19">
      <c r="B19" s="16">
        <v>4.0</v>
      </c>
      <c r="C19" s="16">
        <v>1.0E7</v>
      </c>
      <c r="D19" s="16">
        <v>0.044243621</v>
      </c>
      <c r="E19" s="16">
        <v>0.8821134772</v>
      </c>
      <c r="F19" s="17">
        <v>0.003638</v>
      </c>
      <c r="H19" s="18">
        <v>6.0</v>
      </c>
      <c r="I19" s="18">
        <v>1.0E7</v>
      </c>
      <c r="J19" s="18">
        <v>0.029829293</v>
      </c>
      <c r="K19" s="18">
        <v>0.8820523485</v>
      </c>
      <c r="L19" s="19">
        <v>0.003292</v>
      </c>
    </row>
    <row r="20">
      <c r="B20" s="18">
        <v>4.0</v>
      </c>
      <c r="C20" s="18">
        <v>1.0E8</v>
      </c>
      <c r="D20" s="18">
        <v>0.45453559</v>
      </c>
      <c r="E20" s="18">
        <v>0.8820735773</v>
      </c>
      <c r="F20" s="19">
        <v>8.86E-4</v>
      </c>
      <c r="H20" s="16">
        <v>6.0</v>
      </c>
      <c r="I20" s="16">
        <v>1.0E8</v>
      </c>
      <c r="J20" s="16">
        <v>0.286762974</v>
      </c>
      <c r="K20" s="16">
        <v>0.8820902382</v>
      </c>
      <c r="L20" s="17">
        <v>0.001003</v>
      </c>
    </row>
    <row r="21">
      <c r="B21" s="16">
        <v>4.0</v>
      </c>
      <c r="C21" s="16">
        <v>1.0E9</v>
      </c>
      <c r="D21" s="16">
        <v>4.426032777</v>
      </c>
      <c r="E21" s="16">
        <v>0.8820763061</v>
      </c>
      <c r="F21" s="17">
        <v>5.76E-4</v>
      </c>
      <c r="H21" s="18">
        <v>6.0</v>
      </c>
      <c r="I21" s="18">
        <v>1.0E9</v>
      </c>
      <c r="J21" s="18">
        <v>3.057112887</v>
      </c>
      <c r="K21" s="18">
        <v>0.8820746079</v>
      </c>
      <c r="L21" s="19">
        <v>7.69E-4</v>
      </c>
    </row>
    <row r="23">
      <c r="B23" s="6" t="s">
        <v>6</v>
      </c>
      <c r="C23" s="6" t="s">
        <v>7</v>
      </c>
      <c r="D23" s="6" t="s">
        <v>8</v>
      </c>
      <c r="E23" s="6" t="s">
        <v>9</v>
      </c>
      <c r="F23" s="6" t="s">
        <v>10</v>
      </c>
      <c r="H23" s="6" t="s">
        <v>6</v>
      </c>
      <c r="I23" s="6" t="s">
        <v>7</v>
      </c>
      <c r="J23" s="6" t="s">
        <v>8</v>
      </c>
      <c r="K23" s="6" t="s">
        <v>9</v>
      </c>
      <c r="L23" s="6" t="s">
        <v>10</v>
      </c>
    </row>
    <row r="24">
      <c r="B24" s="16">
        <v>8.0</v>
      </c>
      <c r="C24" s="16">
        <v>1000.0</v>
      </c>
      <c r="D24" s="16">
        <v>1.8862E-5</v>
      </c>
      <c r="E24" s="16">
        <v>0.8706023079</v>
      </c>
      <c r="F24" s="17">
        <v>1.301363</v>
      </c>
      <c r="H24" s="18">
        <v>12.0</v>
      </c>
      <c r="I24" s="18">
        <v>1000.0</v>
      </c>
      <c r="J24" s="18">
        <v>2.0722E-5</v>
      </c>
      <c r="K24" s="18">
        <v>0.8830753084</v>
      </c>
      <c r="L24" s="19">
        <v>0.112679</v>
      </c>
    </row>
    <row r="25">
      <c r="B25" s="18">
        <v>8.0</v>
      </c>
      <c r="C25" s="18">
        <v>10000.0</v>
      </c>
      <c r="D25" s="18">
        <v>4.01E-5</v>
      </c>
      <c r="E25" s="18">
        <v>0.8834267488</v>
      </c>
      <c r="F25" s="19">
        <v>0.152521</v>
      </c>
      <c r="H25" s="16">
        <v>12.0</v>
      </c>
      <c r="I25" s="16">
        <v>10000.0</v>
      </c>
      <c r="J25" s="16">
        <v>3.7661E-5</v>
      </c>
      <c r="K25" s="16">
        <v>0.8833184708</v>
      </c>
      <c r="L25" s="17">
        <v>0.140246</v>
      </c>
    </row>
    <row r="26">
      <c r="B26" s="16">
        <v>8.0</v>
      </c>
      <c r="C26" s="16">
        <v>100000.0</v>
      </c>
      <c r="D26" s="16">
        <v>2.44138E-4</v>
      </c>
      <c r="E26" s="16">
        <v>0.8819237031</v>
      </c>
      <c r="F26" s="17">
        <v>0.017877</v>
      </c>
      <c r="H26" s="18">
        <v>12.0</v>
      </c>
      <c r="I26" s="18">
        <v>100000.0</v>
      </c>
      <c r="J26" s="18">
        <v>1.75467E-4</v>
      </c>
      <c r="K26" s="18">
        <v>0.8825091547</v>
      </c>
      <c r="L26" s="19">
        <v>0.048495</v>
      </c>
    </row>
    <row r="27">
      <c r="B27" s="18">
        <v>8.0</v>
      </c>
      <c r="C27" s="18">
        <v>1000000.0</v>
      </c>
      <c r="D27" s="18">
        <v>0.002259945</v>
      </c>
      <c r="E27" s="18">
        <v>0.8820927606</v>
      </c>
      <c r="F27" s="19">
        <v>0.001289</v>
      </c>
      <c r="H27" s="16">
        <v>12.0</v>
      </c>
      <c r="I27" s="16">
        <v>1000000.0</v>
      </c>
      <c r="J27" s="16">
        <v>0.001589792</v>
      </c>
      <c r="K27" s="16">
        <v>0.8821503084</v>
      </c>
      <c r="L27" s="17">
        <v>0.007813</v>
      </c>
    </row>
    <row r="28">
      <c r="B28" s="16">
        <v>8.0</v>
      </c>
      <c r="C28" s="16">
        <v>1.0E7</v>
      </c>
      <c r="D28" s="16">
        <v>0.021878536</v>
      </c>
      <c r="E28" s="16">
        <v>0.8821401458</v>
      </c>
      <c r="F28" s="17">
        <v>0.006661</v>
      </c>
      <c r="H28" s="18">
        <v>12.0</v>
      </c>
      <c r="I28" s="18">
        <v>1.0E7</v>
      </c>
      <c r="J28" s="18">
        <v>0.015304641</v>
      </c>
      <c r="K28" s="18">
        <v>0.8821543068</v>
      </c>
      <c r="L28" s="19">
        <v>0.008266</v>
      </c>
    </row>
    <row r="29">
      <c r="B29" s="18">
        <v>8.0</v>
      </c>
      <c r="C29" s="18">
        <v>1.0E8</v>
      </c>
      <c r="D29" s="18">
        <v>0.215389674</v>
      </c>
      <c r="E29" s="18">
        <v>0.8820781223</v>
      </c>
      <c r="F29" s="19">
        <v>3.71E-4</v>
      </c>
      <c r="H29" s="16">
        <v>12.0</v>
      </c>
      <c r="I29" s="16">
        <v>1.0E8</v>
      </c>
      <c r="J29" s="16">
        <v>0.155936083</v>
      </c>
      <c r="K29" s="16">
        <v>0.8820551581</v>
      </c>
      <c r="L29" s="17">
        <v>0.002974</v>
      </c>
    </row>
    <row r="30">
      <c r="B30" s="16">
        <v>8.0</v>
      </c>
      <c r="C30" s="16">
        <v>1.0E9</v>
      </c>
      <c r="D30" s="16">
        <v>2.183302202</v>
      </c>
      <c r="E30" s="16">
        <v>0.8820832332</v>
      </c>
      <c r="F30" s="17">
        <v>2.09E-4</v>
      </c>
      <c r="H30" s="18">
        <v>12.0</v>
      </c>
      <c r="I30" s="18">
        <v>1.0E9</v>
      </c>
      <c r="J30" s="18">
        <v>1.51038142</v>
      </c>
      <c r="K30" s="18">
        <v>0.8820827819</v>
      </c>
      <c r="L30" s="19">
        <v>1.58E-4</v>
      </c>
    </row>
    <row r="32">
      <c r="B32" s="6" t="s">
        <v>6</v>
      </c>
      <c r="C32" s="6" t="s">
        <v>7</v>
      </c>
      <c r="D32" s="6" t="s">
        <v>8</v>
      </c>
      <c r="E32" s="6" t="s">
        <v>9</v>
      </c>
      <c r="F32" s="6" t="s">
        <v>10</v>
      </c>
      <c r="H32" s="6" t="s">
        <v>6</v>
      </c>
      <c r="I32" s="6" t="s">
        <v>7</v>
      </c>
      <c r="J32" s="6" t="s">
        <v>8</v>
      </c>
      <c r="K32" s="6" t="s">
        <v>9</v>
      </c>
      <c r="L32" s="6" t="s">
        <v>10</v>
      </c>
    </row>
    <row r="33">
      <c r="B33" s="16">
        <v>16.0</v>
      </c>
      <c r="C33" s="16">
        <v>1000.0</v>
      </c>
      <c r="D33" s="16">
        <v>2.8663E-5</v>
      </c>
      <c r="E33" s="16">
        <v>0.8843539453</v>
      </c>
      <c r="F33" s="17">
        <v>0.257635</v>
      </c>
      <c r="H33" s="18">
        <v>24.0</v>
      </c>
      <c r="I33" s="18">
        <v>1000.0</v>
      </c>
      <c r="J33" s="18">
        <v>4.0392E-5</v>
      </c>
      <c r="K33" s="18">
        <v>0.8804099147</v>
      </c>
      <c r="L33" s="19">
        <v>0.189492</v>
      </c>
    </row>
    <row r="34">
      <c r="B34" s="18">
        <v>16.0</v>
      </c>
      <c r="C34" s="18">
        <v>10000.0</v>
      </c>
      <c r="D34" s="18">
        <v>3.6639E-5</v>
      </c>
      <c r="E34" s="18">
        <v>0.8810474652</v>
      </c>
      <c r="F34" s="19">
        <v>0.117214</v>
      </c>
      <c r="H34" s="16">
        <v>24.0</v>
      </c>
      <c r="I34" s="16">
        <v>10000.0</v>
      </c>
      <c r="J34" s="16">
        <v>4.9297E-5</v>
      </c>
      <c r="K34" s="16">
        <v>0.8821474174</v>
      </c>
      <c r="L34" s="17">
        <v>0.007485</v>
      </c>
    </row>
    <row r="35">
      <c r="B35" s="16">
        <v>16.0</v>
      </c>
      <c r="C35" s="16">
        <v>100000.0</v>
      </c>
      <c r="D35" s="16">
        <v>1.37071E-4</v>
      </c>
      <c r="E35" s="16">
        <v>0.8825119734</v>
      </c>
      <c r="F35" s="17">
        <v>0.048814</v>
      </c>
      <c r="H35" s="18">
        <v>24.0</v>
      </c>
      <c r="I35" s="18">
        <v>100000.0</v>
      </c>
      <c r="J35" s="18">
        <v>1.22916E-4</v>
      </c>
      <c r="K35" s="18">
        <v>0.8816343401</v>
      </c>
      <c r="L35" s="19">
        <v>0.050681</v>
      </c>
    </row>
    <row r="36">
      <c r="B36" s="18">
        <v>16.0</v>
      </c>
      <c r="C36" s="18">
        <v>1000000.0</v>
      </c>
      <c r="D36" s="18">
        <v>0.001262168</v>
      </c>
      <c r="E36" s="18">
        <v>0.88195169</v>
      </c>
      <c r="F36" s="19">
        <v>0.014704</v>
      </c>
      <c r="H36" s="16">
        <v>24.0</v>
      </c>
      <c r="I36" s="16">
        <v>1000000.0</v>
      </c>
      <c r="J36" s="16">
        <v>8.655E-4</v>
      </c>
      <c r="K36" s="16">
        <v>0.8820079402</v>
      </c>
      <c r="L36" s="17">
        <v>0.008327</v>
      </c>
    </row>
    <row r="37">
      <c r="B37" s="16">
        <v>16.0</v>
      </c>
      <c r="C37" s="16">
        <v>1.0E7</v>
      </c>
      <c r="D37" s="16">
        <v>0.013020319</v>
      </c>
      <c r="E37" s="16">
        <v>0.8820519729</v>
      </c>
      <c r="F37" s="17">
        <v>0.003335</v>
      </c>
      <c r="H37" s="18">
        <v>24.0</v>
      </c>
      <c r="I37" s="18">
        <v>1.0E7</v>
      </c>
      <c r="J37" s="18">
        <v>0.007834839</v>
      </c>
      <c r="K37" s="18">
        <v>0.8821099646</v>
      </c>
      <c r="L37" s="19">
        <v>0.003239</v>
      </c>
    </row>
    <row r="38">
      <c r="B38" s="18">
        <v>16.0</v>
      </c>
      <c r="C38" s="18">
        <v>1.0E8</v>
      </c>
      <c r="D38" s="18">
        <v>0.116415371</v>
      </c>
      <c r="E38" s="18">
        <v>0.8820668318</v>
      </c>
      <c r="F38" s="19">
        <v>0.001651</v>
      </c>
      <c r="H38" s="16">
        <v>24.0</v>
      </c>
      <c r="I38" s="16">
        <v>1.0E8</v>
      </c>
      <c r="J38" s="16">
        <v>0.081000894</v>
      </c>
      <c r="K38" s="16">
        <v>0.8820629198</v>
      </c>
      <c r="L38" s="17">
        <v>0.002094</v>
      </c>
    </row>
    <row r="39">
      <c r="B39" s="16">
        <v>16.0</v>
      </c>
      <c r="C39" s="16">
        <v>1.0E9</v>
      </c>
      <c r="D39" s="16">
        <v>1.20506356</v>
      </c>
      <c r="E39" s="16">
        <v>0.8820873511</v>
      </c>
      <c r="F39" s="17">
        <v>6.76E-4</v>
      </c>
      <c r="H39" s="18">
        <v>24.0</v>
      </c>
      <c r="I39" s="18">
        <v>1.0E9</v>
      </c>
      <c r="J39" s="18">
        <v>0.766181253</v>
      </c>
      <c r="K39" s="18">
        <v>0.8820779063</v>
      </c>
      <c r="L39" s="19">
        <v>3.95E-4</v>
      </c>
    </row>
    <row r="40">
      <c r="H40" s="16">
        <v>24.0</v>
      </c>
      <c r="I40" s="16">
        <v>1.0E10</v>
      </c>
      <c r="J40" s="16">
        <v>7.957900838</v>
      </c>
      <c r="K40" s="16">
        <v>0.8820828549</v>
      </c>
      <c r="L40" s="17">
        <v>1.66E-4</v>
      </c>
    </row>
    <row r="41">
      <c r="H41" s="18">
        <v>24.0</v>
      </c>
      <c r="I41" s="18">
        <v>1.0E11</v>
      </c>
      <c r="J41" s="18">
        <v>79.616947026</v>
      </c>
      <c r="K41" s="18">
        <v>0.8820811261</v>
      </c>
      <c r="L41" s="19">
        <v>3.0E-5</v>
      </c>
    </row>
    <row r="44">
      <c r="B44" s="6" t="s">
        <v>6</v>
      </c>
      <c r="C44" s="6" t="s">
        <v>7</v>
      </c>
      <c r="D44" s="6" t="s">
        <v>8</v>
      </c>
      <c r="E44" s="6" t="s">
        <v>9</v>
      </c>
      <c r="F44" s="6" t="s">
        <v>10</v>
      </c>
      <c r="H44" s="6" t="s">
        <v>6</v>
      </c>
      <c r="I44" s="6" t="s">
        <v>7</v>
      </c>
      <c r="J44" s="6" t="s">
        <v>8</v>
      </c>
      <c r="K44" s="6" t="s">
        <v>9</v>
      </c>
      <c r="L44" s="6" t="s">
        <v>10</v>
      </c>
    </row>
    <row r="45">
      <c r="B45" s="16">
        <v>32.0</v>
      </c>
      <c r="C45" s="16">
        <v>1000.0</v>
      </c>
      <c r="D45" s="16">
        <v>4.4089E-5</v>
      </c>
      <c r="E45" s="16">
        <v>0.881176647</v>
      </c>
      <c r="F45" s="17">
        <v>0.102569</v>
      </c>
      <c r="H45" s="18">
        <v>48.0</v>
      </c>
      <c r="I45" s="18">
        <v>1000.0</v>
      </c>
      <c r="J45" s="18">
        <v>8.9582E-4</v>
      </c>
      <c r="K45" s="18">
        <v>0.8785671278</v>
      </c>
      <c r="L45" s="19">
        <v>0.398406</v>
      </c>
    </row>
    <row r="46">
      <c r="B46" s="18">
        <v>32.0</v>
      </c>
      <c r="C46" s="18">
        <v>10000.0</v>
      </c>
      <c r="D46" s="18">
        <v>4.7676E-5</v>
      </c>
      <c r="E46" s="18">
        <v>0.8824682282</v>
      </c>
      <c r="F46" s="19">
        <v>0.043855</v>
      </c>
      <c r="H46" s="16">
        <v>48.0</v>
      </c>
      <c r="I46" s="16">
        <v>10000.0</v>
      </c>
      <c r="J46" s="16">
        <v>4.72186E-4</v>
      </c>
      <c r="K46" s="16">
        <v>0.8843922658</v>
      </c>
      <c r="L46" s="17">
        <v>0.26198</v>
      </c>
    </row>
    <row r="47">
      <c r="B47" s="16">
        <v>32.0</v>
      </c>
      <c r="C47" s="16">
        <v>100000.0</v>
      </c>
      <c r="D47" s="16">
        <v>9.6421E-5</v>
      </c>
      <c r="E47" s="16">
        <v>0.8819364291</v>
      </c>
      <c r="F47" s="17">
        <v>0.016434</v>
      </c>
      <c r="H47" s="18">
        <v>48.0</v>
      </c>
      <c r="I47" s="18">
        <v>100000.0</v>
      </c>
      <c r="J47" s="18">
        <v>8.6564E-5</v>
      </c>
      <c r="K47" s="18">
        <v>0.8821128662</v>
      </c>
      <c r="L47" s="19">
        <v>0.003568</v>
      </c>
    </row>
    <row r="48">
      <c r="B48" s="18">
        <v>32.0</v>
      </c>
      <c r="C48" s="18">
        <v>1000000.0</v>
      </c>
      <c r="D48" s="18">
        <v>6.75364E-4</v>
      </c>
      <c r="E48" s="18">
        <v>0.8821628585</v>
      </c>
      <c r="F48" s="19">
        <v>0.009236</v>
      </c>
      <c r="H48" s="16">
        <v>48.0</v>
      </c>
      <c r="I48" s="16">
        <v>1000000.0</v>
      </c>
      <c r="J48" s="16">
        <v>6.76291E-4</v>
      </c>
      <c r="K48" s="16">
        <v>0.8822138909</v>
      </c>
      <c r="L48" s="17">
        <v>0.015021</v>
      </c>
    </row>
    <row r="49">
      <c r="B49" s="16">
        <v>32.0</v>
      </c>
      <c r="C49" s="16">
        <v>1.0E7</v>
      </c>
      <c r="D49" s="16">
        <v>0.006603818</v>
      </c>
      <c r="E49" s="16">
        <v>0.8820932262</v>
      </c>
      <c r="F49" s="17">
        <v>0.001342</v>
      </c>
      <c r="H49" s="18">
        <v>48.0</v>
      </c>
      <c r="I49" s="18">
        <v>1.0E7</v>
      </c>
      <c r="J49" s="18">
        <v>0.00429274</v>
      </c>
      <c r="K49" s="18">
        <v>0.8820903241</v>
      </c>
      <c r="L49" s="19">
        <v>0.001013</v>
      </c>
    </row>
    <row r="50">
      <c r="B50" s="18">
        <v>32.0</v>
      </c>
      <c r="C50" s="18">
        <v>1.0E8</v>
      </c>
      <c r="D50" s="18">
        <v>0.067080832</v>
      </c>
      <c r="E50" s="18">
        <v>0.8820753824</v>
      </c>
      <c r="F50" s="19">
        <v>6.81E-4</v>
      </c>
      <c r="H50" s="16">
        <v>48.0</v>
      </c>
      <c r="I50" s="16">
        <v>1.0E8</v>
      </c>
      <c r="J50" s="16">
        <v>0.046776762</v>
      </c>
      <c r="K50" s="16">
        <v>0.8820779488</v>
      </c>
      <c r="L50" s="17">
        <v>3.9E-4</v>
      </c>
    </row>
    <row r="51">
      <c r="B51" s="16">
        <v>32.0</v>
      </c>
      <c r="C51" s="16">
        <v>1.0E9</v>
      </c>
      <c r="D51" s="16">
        <v>0.631407314</v>
      </c>
      <c r="E51" s="16">
        <v>0.8820747105</v>
      </c>
      <c r="F51" s="17">
        <v>7.57E-4</v>
      </c>
      <c r="H51" s="18">
        <v>48.0</v>
      </c>
      <c r="I51" s="18">
        <v>1.0E9</v>
      </c>
      <c r="J51" s="18">
        <v>0.408006745</v>
      </c>
      <c r="K51" s="18">
        <v>0.8820805496</v>
      </c>
      <c r="L51" s="19">
        <v>9.5E-5</v>
      </c>
    </row>
    <row r="52">
      <c r="B52" s="18">
        <v>32.0</v>
      </c>
      <c r="C52" s="18">
        <v>1.0E10</v>
      </c>
      <c r="D52" s="18">
        <v>6.04760478</v>
      </c>
      <c r="E52" s="18">
        <v>0.8820798509</v>
      </c>
      <c r="F52" s="19">
        <v>1.75E-4</v>
      </c>
      <c r="H52" s="16">
        <v>48.0</v>
      </c>
      <c r="I52" s="16">
        <v>1.0E10</v>
      </c>
      <c r="J52" s="16">
        <v>4.388072077</v>
      </c>
      <c r="K52" s="16">
        <v>0.8820810022</v>
      </c>
      <c r="L52" s="17">
        <v>4.4E-5</v>
      </c>
    </row>
    <row r="53">
      <c r="B53" s="16">
        <v>32.0</v>
      </c>
      <c r="C53" s="16">
        <v>1.0E11</v>
      </c>
      <c r="D53" s="16">
        <v>63.079478989</v>
      </c>
      <c r="E53" s="16">
        <v>0.8820810357</v>
      </c>
      <c r="F53" s="17">
        <v>4.0E-5</v>
      </c>
      <c r="H53" s="18">
        <v>48.0</v>
      </c>
      <c r="I53" s="18">
        <v>1.0E11</v>
      </c>
      <c r="J53" s="18">
        <v>43.309765539</v>
      </c>
      <c r="K53" s="18">
        <v>0.8820814249</v>
      </c>
      <c r="L53" s="19">
        <v>4.0E-6</v>
      </c>
    </row>
    <row r="55">
      <c r="B55" s="6" t="s">
        <v>6</v>
      </c>
      <c r="C55" s="6" t="s">
        <v>7</v>
      </c>
      <c r="D55" s="6" t="s">
        <v>8</v>
      </c>
      <c r="E55" s="6" t="s">
        <v>9</v>
      </c>
      <c r="F55" s="6" t="s">
        <v>10</v>
      </c>
      <c r="H55" s="6" t="s">
        <v>6</v>
      </c>
      <c r="I55" s="6" t="s">
        <v>7</v>
      </c>
      <c r="J55" s="6" t="s">
        <v>8</v>
      </c>
      <c r="K55" s="6" t="s">
        <v>9</v>
      </c>
      <c r="L55" s="6" t="s">
        <v>10</v>
      </c>
    </row>
    <row r="56">
      <c r="B56" s="16">
        <v>64.0</v>
      </c>
      <c r="C56" s="16">
        <v>1000.0</v>
      </c>
      <c r="D56" s="16">
        <v>0.001115836</v>
      </c>
      <c r="E56" s="16">
        <v>0.8855533267</v>
      </c>
      <c r="F56" s="17">
        <v>0.393607</v>
      </c>
      <c r="H56" s="18">
        <v>96.0</v>
      </c>
      <c r="I56" s="18">
        <v>1000.0</v>
      </c>
      <c r="J56" s="18">
        <v>0.00629895</v>
      </c>
      <c r="K56" s="18">
        <v>0.8780795046</v>
      </c>
      <c r="L56" s="19">
        <v>0.453687</v>
      </c>
    </row>
    <row r="57">
      <c r="B57" s="18">
        <v>64.0</v>
      </c>
      <c r="C57" s="18">
        <v>10000.0</v>
      </c>
      <c r="D57" s="18">
        <v>0.00299961</v>
      </c>
      <c r="E57" s="18">
        <v>0.8809641249</v>
      </c>
      <c r="F57" s="19">
        <v>0.126662</v>
      </c>
      <c r="H57" s="16">
        <v>96.0</v>
      </c>
      <c r="I57" s="16">
        <v>10000.0</v>
      </c>
      <c r="J57" s="16">
        <v>0.003227187</v>
      </c>
      <c r="K57" s="16">
        <v>0.882349963</v>
      </c>
      <c r="L57" s="17">
        <v>0.030448</v>
      </c>
    </row>
    <row r="58">
      <c r="B58" s="16">
        <v>64.0</v>
      </c>
      <c r="C58" s="16">
        <v>100000.0</v>
      </c>
      <c r="D58" s="16">
        <v>0.003876129</v>
      </c>
      <c r="E58" s="16">
        <v>0.8825055488</v>
      </c>
      <c r="F58" s="17">
        <v>0.048086</v>
      </c>
      <c r="H58" s="18">
        <v>96.0</v>
      </c>
      <c r="I58" s="18">
        <v>100000.0</v>
      </c>
      <c r="J58" s="18">
        <v>0.006735137</v>
      </c>
      <c r="K58" s="18">
        <v>0.8816538386</v>
      </c>
      <c r="L58" s="19">
        <v>0.048471</v>
      </c>
    </row>
    <row r="59">
      <c r="B59" s="18">
        <v>64.0</v>
      </c>
      <c r="C59" s="18">
        <v>1000000.0</v>
      </c>
      <c r="D59" s="18">
        <v>0.003100216</v>
      </c>
      <c r="E59" s="18">
        <v>0.8821863506</v>
      </c>
      <c r="F59" s="19">
        <v>0.011899</v>
      </c>
      <c r="H59" s="16">
        <v>96.0</v>
      </c>
      <c r="I59" s="16">
        <v>1000000.0</v>
      </c>
      <c r="J59" s="16">
        <v>0.005414271</v>
      </c>
      <c r="K59" s="16">
        <v>0.8820811365</v>
      </c>
      <c r="L59" s="17">
        <v>2.9E-5</v>
      </c>
    </row>
    <row r="60">
      <c r="B60" s="16">
        <v>64.0</v>
      </c>
      <c r="C60" s="16">
        <v>1.0E7</v>
      </c>
      <c r="D60" s="16">
        <v>0.007232716</v>
      </c>
      <c r="E60" s="16">
        <v>0.8821133168</v>
      </c>
      <c r="F60" s="17">
        <v>0.003619</v>
      </c>
      <c r="H60" s="18">
        <v>96.0</v>
      </c>
      <c r="I60" s="18">
        <v>1.0E7</v>
      </c>
      <c r="J60" s="18">
        <v>0.008999918</v>
      </c>
      <c r="K60" s="18">
        <v>0.8820217801</v>
      </c>
      <c r="L60" s="19">
        <v>0.006758</v>
      </c>
    </row>
    <row r="61">
      <c r="B61" s="18">
        <v>64.0</v>
      </c>
      <c r="C61" s="18">
        <v>1.0E8</v>
      </c>
      <c r="D61" s="18">
        <v>0.036733829</v>
      </c>
      <c r="E61" s="18">
        <v>0.8820985638</v>
      </c>
      <c r="F61" s="19">
        <v>0.001947</v>
      </c>
      <c r="H61" s="16">
        <v>96.0</v>
      </c>
      <c r="I61" s="16">
        <v>1.0E8</v>
      </c>
      <c r="J61" s="16">
        <v>0.030934725</v>
      </c>
      <c r="K61" s="16">
        <v>0.8820807266</v>
      </c>
      <c r="L61" s="17">
        <v>7.5E-5</v>
      </c>
    </row>
    <row r="62">
      <c r="B62" s="16">
        <v>64.0</v>
      </c>
      <c r="C62" s="16">
        <v>1.0E9</v>
      </c>
      <c r="D62" s="16">
        <v>0.343439003</v>
      </c>
      <c r="E62" s="16">
        <v>0.8820858569</v>
      </c>
      <c r="F62" s="17">
        <v>5.06E-4</v>
      </c>
      <c r="H62" s="18">
        <v>96.0</v>
      </c>
      <c r="I62" s="18">
        <v>1.0E9</v>
      </c>
      <c r="J62" s="18">
        <v>0.291004723</v>
      </c>
      <c r="K62" s="18">
        <v>0.882076808</v>
      </c>
      <c r="L62" s="19">
        <v>5.2E-4</v>
      </c>
    </row>
    <row r="63">
      <c r="B63" s="18">
        <v>64.0</v>
      </c>
      <c r="C63" s="18">
        <v>1.0E10</v>
      </c>
      <c r="D63" s="18">
        <v>3.561142541</v>
      </c>
      <c r="E63" s="18">
        <v>0.882080838</v>
      </c>
      <c r="F63" s="19">
        <v>6.3E-5</v>
      </c>
      <c r="H63" s="16">
        <v>96.0</v>
      </c>
      <c r="I63" s="16">
        <v>1.0E10</v>
      </c>
      <c r="J63" s="16">
        <v>2.625902285</v>
      </c>
      <c r="K63" s="16">
        <v>0.8820827774</v>
      </c>
      <c r="L63" s="17">
        <v>1.57E-4</v>
      </c>
    </row>
    <row r="64">
      <c r="B64" s="16">
        <v>64.0</v>
      </c>
      <c r="C64" s="16">
        <v>1.0E11</v>
      </c>
      <c r="D64" s="16">
        <v>35.709717496</v>
      </c>
      <c r="E64" s="16">
        <v>0.8820813266</v>
      </c>
      <c r="F64" s="17">
        <v>7.0E-6</v>
      </c>
      <c r="H64" s="18">
        <v>96.0</v>
      </c>
      <c r="I64" s="18">
        <v>1.0E11</v>
      </c>
      <c r="J64" s="18">
        <v>24.615759119</v>
      </c>
      <c r="K64" s="18">
        <v>0.8820811681</v>
      </c>
      <c r="L64" s="19">
        <v>2.5E-5</v>
      </c>
    </row>
  </sheetData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B1" s="13" t="s">
        <v>17</v>
      </c>
    </row>
    <row r="3">
      <c r="B3" s="14" t="s">
        <v>11</v>
      </c>
      <c r="C3" s="15"/>
    </row>
    <row r="4"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H4" s="6" t="s">
        <v>6</v>
      </c>
      <c r="I4" s="6" t="s">
        <v>7</v>
      </c>
      <c r="J4" s="6" t="s">
        <v>8</v>
      </c>
      <c r="K4" s="6" t="s">
        <v>9</v>
      </c>
      <c r="L4" s="6" t="s">
        <v>10</v>
      </c>
    </row>
    <row r="5">
      <c r="B5" s="16">
        <v>1.0</v>
      </c>
      <c r="C5" s="16">
        <v>1000.0</v>
      </c>
      <c r="D5" s="16">
        <v>3.8937E-5</v>
      </c>
      <c r="E5" s="16">
        <v>0.7879818942</v>
      </c>
      <c r="F5" s="17">
        <v>2.086865</v>
      </c>
      <c r="H5" s="18">
        <v>2.0</v>
      </c>
      <c r="I5" s="18">
        <v>1000.0</v>
      </c>
      <c r="J5" s="18">
        <v>1.9447E-5</v>
      </c>
      <c r="K5" s="18">
        <v>0.8079425633</v>
      </c>
      <c r="L5" s="19">
        <v>0.39341</v>
      </c>
    </row>
    <row r="6">
      <c r="B6" s="18">
        <v>1.0</v>
      </c>
      <c r="C6" s="18">
        <v>10000.0</v>
      </c>
      <c r="D6" s="18">
        <v>3.34868E-4</v>
      </c>
      <c r="E6" s="18">
        <v>0.8055573036</v>
      </c>
      <c r="F6" s="19">
        <v>0.097022</v>
      </c>
      <c r="H6" s="16">
        <v>2.0</v>
      </c>
      <c r="I6" s="16">
        <v>10000.0</v>
      </c>
      <c r="J6" s="16">
        <v>1.68993E-4</v>
      </c>
      <c r="K6" s="16">
        <v>0.8050027172</v>
      </c>
      <c r="L6" s="17">
        <v>0.028111</v>
      </c>
    </row>
    <row r="7">
      <c r="B7" s="16">
        <v>1.0</v>
      </c>
      <c r="C7" s="16">
        <v>100000.0</v>
      </c>
      <c r="D7" s="16">
        <v>0.003288231</v>
      </c>
      <c r="E7" s="16">
        <v>0.804460063</v>
      </c>
      <c r="F7" s="17">
        <v>0.039319</v>
      </c>
      <c r="H7" s="18">
        <v>2.0</v>
      </c>
      <c r="I7" s="18">
        <v>100000.0</v>
      </c>
      <c r="J7" s="18">
        <v>0.00167667</v>
      </c>
      <c r="K7" s="18">
        <v>0.8043773965</v>
      </c>
      <c r="L7" s="19">
        <v>0.049591</v>
      </c>
    </row>
    <row r="8">
      <c r="B8" s="18">
        <v>1.0</v>
      </c>
      <c r="C8" s="18">
        <v>1000000.0</v>
      </c>
      <c r="D8" s="18">
        <v>0.032705175</v>
      </c>
      <c r="E8" s="18">
        <v>0.8046785339</v>
      </c>
      <c r="F8" s="19">
        <v>0.012172</v>
      </c>
      <c r="H8" s="16">
        <v>2.0</v>
      </c>
      <c r="I8" s="16">
        <v>1000000.0</v>
      </c>
      <c r="J8" s="16">
        <v>0.016373234</v>
      </c>
      <c r="K8" s="16">
        <v>0.8047450814</v>
      </c>
      <c r="L8" s="17">
        <v>0.003903</v>
      </c>
    </row>
    <row r="9">
      <c r="B9" s="16">
        <v>1.0</v>
      </c>
      <c r="C9" s="16">
        <v>1.0E7</v>
      </c>
      <c r="D9" s="16">
        <v>0.325742874</v>
      </c>
      <c r="E9" s="16">
        <v>0.8047716745</v>
      </c>
      <c r="F9" s="17">
        <v>5.98E-4</v>
      </c>
      <c r="H9" s="18">
        <v>2.0</v>
      </c>
      <c r="I9" s="18">
        <v>1.0E7</v>
      </c>
      <c r="J9" s="18">
        <v>0.163043993</v>
      </c>
      <c r="K9" s="18">
        <v>0.8047048476</v>
      </c>
      <c r="L9" s="19">
        <v>0.008902</v>
      </c>
    </row>
    <row r="10">
      <c r="B10" s="18">
        <v>1.0</v>
      </c>
      <c r="C10" s="18">
        <v>1.0E8</v>
      </c>
      <c r="D10" s="18">
        <v>3.258767263</v>
      </c>
      <c r="E10" s="18">
        <v>0.8047867383</v>
      </c>
      <c r="F10" s="19">
        <v>0.001274</v>
      </c>
      <c r="H10" s="16">
        <v>2.0</v>
      </c>
      <c r="I10" s="16">
        <v>1.0E8</v>
      </c>
      <c r="J10" s="16">
        <v>1.631511735</v>
      </c>
      <c r="K10" s="16">
        <v>0.8047752221</v>
      </c>
      <c r="L10" s="17">
        <v>1.57E-4</v>
      </c>
    </row>
    <row r="11">
      <c r="B11" s="16">
        <v>1.0</v>
      </c>
      <c r="C11" s="16">
        <v>1.0E9</v>
      </c>
      <c r="D11" s="16">
        <v>32.56159653</v>
      </c>
      <c r="E11" s="16">
        <v>0.804767527</v>
      </c>
      <c r="F11" s="17">
        <v>0.001114</v>
      </c>
      <c r="H11" s="18">
        <v>2.0</v>
      </c>
      <c r="I11" s="18">
        <v>1.0E9</v>
      </c>
      <c r="J11" s="18">
        <v>16.611655582</v>
      </c>
      <c r="K11" s="18">
        <v>0.8047680089</v>
      </c>
      <c r="L11" s="19">
        <v>0.001054</v>
      </c>
    </row>
    <row r="14">
      <c r="B14" s="6" t="s">
        <v>6</v>
      </c>
      <c r="C14" s="6" t="s">
        <v>7</v>
      </c>
      <c r="D14" s="6" t="s">
        <v>8</v>
      </c>
      <c r="E14" s="6" t="s">
        <v>9</v>
      </c>
      <c r="F14" s="6" t="s">
        <v>10</v>
      </c>
      <c r="H14" s="6" t="s">
        <v>6</v>
      </c>
      <c r="I14" s="6" t="s">
        <v>7</v>
      </c>
      <c r="J14" s="6" t="s">
        <v>8</v>
      </c>
      <c r="K14" s="6" t="s">
        <v>9</v>
      </c>
      <c r="L14" s="6" t="s">
        <v>10</v>
      </c>
    </row>
    <row r="15">
      <c r="B15" s="16">
        <v>4.0</v>
      </c>
      <c r="C15" s="16">
        <v>1000.0</v>
      </c>
      <c r="D15" s="16">
        <v>1.8638E-5</v>
      </c>
      <c r="E15" s="16">
        <v>0.8054201137</v>
      </c>
      <c r="F15" s="17">
        <v>0.079976</v>
      </c>
      <c r="H15" s="18">
        <v>6.0</v>
      </c>
      <c r="I15" s="18">
        <v>1000.0</v>
      </c>
      <c r="J15" s="18">
        <v>1.6703E-5</v>
      </c>
      <c r="K15" s="18">
        <v>0.8022612799</v>
      </c>
      <c r="L15" s="19">
        <v>0.312535</v>
      </c>
    </row>
    <row r="16">
      <c r="B16" s="18">
        <v>4.0</v>
      </c>
      <c r="C16" s="18">
        <v>10000.0</v>
      </c>
      <c r="D16" s="18">
        <v>9.6328E-5</v>
      </c>
      <c r="E16" s="18">
        <v>0.8069251924</v>
      </c>
      <c r="F16" s="19">
        <v>0.266994</v>
      </c>
      <c r="H16" s="16">
        <v>6.0</v>
      </c>
      <c r="I16" s="16">
        <v>10000.0</v>
      </c>
      <c r="J16" s="16">
        <v>6.8165E-5</v>
      </c>
      <c r="K16" s="16">
        <v>0.8074315423</v>
      </c>
      <c r="L16" s="17">
        <v>0.329912</v>
      </c>
    </row>
    <row r="17">
      <c r="B17" s="16">
        <v>4.0</v>
      </c>
      <c r="C17" s="16">
        <v>100000.0</v>
      </c>
      <c r="D17" s="16">
        <v>8.41686E-4</v>
      </c>
      <c r="E17" s="16">
        <v>0.80519983</v>
      </c>
      <c r="F17" s="17">
        <v>0.052604</v>
      </c>
      <c r="H17" s="18">
        <v>6.0</v>
      </c>
      <c r="I17" s="18">
        <v>100000.0</v>
      </c>
      <c r="J17" s="18">
        <v>5.75858E-4</v>
      </c>
      <c r="K17" s="18">
        <v>0.805385068</v>
      </c>
      <c r="L17" s="19">
        <v>0.075621</v>
      </c>
    </row>
    <row r="18">
      <c r="B18" s="18">
        <v>4.0</v>
      </c>
      <c r="C18" s="18">
        <v>1000000.0</v>
      </c>
      <c r="D18" s="18">
        <v>0.008246506</v>
      </c>
      <c r="E18" s="18">
        <v>0.8049017163</v>
      </c>
      <c r="F18" s="19">
        <v>0.01556</v>
      </c>
      <c r="H18" s="16">
        <v>6.0</v>
      </c>
      <c r="I18" s="16">
        <v>1000000.0</v>
      </c>
      <c r="J18" s="16">
        <v>0.005518556</v>
      </c>
      <c r="K18" s="16">
        <v>0.8047504145</v>
      </c>
      <c r="L18" s="17">
        <v>0.00324</v>
      </c>
    </row>
    <row r="19">
      <c r="B19" s="16">
        <v>4.0</v>
      </c>
      <c r="C19" s="16">
        <v>1.0E7</v>
      </c>
      <c r="D19" s="16">
        <v>0.083225619</v>
      </c>
      <c r="E19" s="16">
        <v>0.804792113</v>
      </c>
      <c r="F19" s="17">
        <v>0.001941</v>
      </c>
      <c r="H19" s="18">
        <v>6.0</v>
      </c>
      <c r="I19" s="18">
        <v>1.0E7</v>
      </c>
      <c r="J19" s="18">
        <v>0.055682634</v>
      </c>
      <c r="K19" s="18">
        <v>0.8047591797</v>
      </c>
      <c r="L19" s="19">
        <v>0.002151</v>
      </c>
    </row>
    <row r="20">
      <c r="B20" s="18">
        <v>4.0</v>
      </c>
      <c r="C20" s="18">
        <v>1.0E8</v>
      </c>
      <c r="D20" s="18">
        <v>0.84456032</v>
      </c>
      <c r="E20" s="18">
        <v>0.804751757</v>
      </c>
      <c r="F20" s="19">
        <v>0.003073</v>
      </c>
      <c r="H20" s="16">
        <v>6.0</v>
      </c>
      <c r="I20" s="16">
        <v>1.0E8</v>
      </c>
      <c r="J20" s="16">
        <v>0.545879151</v>
      </c>
      <c r="K20" s="16">
        <v>0.8047489674</v>
      </c>
      <c r="L20" s="17">
        <v>0.00342</v>
      </c>
    </row>
    <row r="21">
      <c r="B21" s="16">
        <v>4.0</v>
      </c>
      <c r="C21" s="16">
        <v>1.0E9</v>
      </c>
      <c r="D21" s="16">
        <v>8.314755764</v>
      </c>
      <c r="E21" s="16">
        <v>0.8047670072</v>
      </c>
      <c r="F21" s="17">
        <v>0.001178</v>
      </c>
      <c r="H21" s="18">
        <v>6.0</v>
      </c>
      <c r="I21" s="18">
        <v>1.0E9</v>
      </c>
      <c r="J21" s="18">
        <v>5.636809311</v>
      </c>
      <c r="K21" s="18">
        <v>0.8047789291</v>
      </c>
      <c r="L21" s="19">
        <v>3.03E-4</v>
      </c>
    </row>
    <row r="23">
      <c r="B23" s="6" t="s">
        <v>6</v>
      </c>
      <c r="C23" s="6" t="s">
        <v>7</v>
      </c>
      <c r="D23" s="6" t="s">
        <v>8</v>
      </c>
      <c r="E23" s="6" t="s">
        <v>9</v>
      </c>
      <c r="F23" s="6" t="s">
        <v>10</v>
      </c>
      <c r="H23" s="6" t="s">
        <v>6</v>
      </c>
      <c r="I23" s="6" t="s">
        <v>7</v>
      </c>
      <c r="J23" s="6" t="s">
        <v>8</v>
      </c>
      <c r="K23" s="6" t="s">
        <v>9</v>
      </c>
      <c r="L23" s="6" t="s">
        <v>10</v>
      </c>
    </row>
    <row r="24">
      <c r="B24" s="16">
        <v>8.0</v>
      </c>
      <c r="C24" s="16">
        <v>1000.0</v>
      </c>
      <c r="D24" s="16">
        <v>1.6862E-5</v>
      </c>
      <c r="E24" s="16">
        <v>0.8093845859</v>
      </c>
      <c r="F24" s="17">
        <v>0.572593</v>
      </c>
      <c r="H24" s="18">
        <v>12.0</v>
      </c>
      <c r="I24" s="18">
        <v>1000.0</v>
      </c>
      <c r="J24" s="18">
        <v>2.1744E-5</v>
      </c>
      <c r="K24" s="18">
        <v>0.8024896709</v>
      </c>
      <c r="L24" s="19">
        <v>0.284156</v>
      </c>
    </row>
    <row r="25">
      <c r="B25" s="18">
        <v>8.0</v>
      </c>
      <c r="C25" s="18">
        <v>10000.0</v>
      </c>
      <c r="D25" s="18">
        <v>5.7985E-5</v>
      </c>
      <c r="E25" s="18">
        <v>0.80624144</v>
      </c>
      <c r="F25" s="19">
        <v>0.182032</v>
      </c>
      <c r="H25" s="16">
        <v>12.0</v>
      </c>
      <c r="I25" s="16">
        <v>10000.0</v>
      </c>
      <c r="J25" s="16">
        <v>4.6385E-5</v>
      </c>
      <c r="K25" s="16">
        <v>0.8018366205</v>
      </c>
      <c r="L25" s="17">
        <v>0.365303</v>
      </c>
    </row>
    <row r="26">
      <c r="B26" s="16">
        <v>8.0</v>
      </c>
      <c r="C26" s="16">
        <v>100000.0</v>
      </c>
      <c r="D26" s="16">
        <v>4.38955E-4</v>
      </c>
      <c r="E26" s="16">
        <v>0.8047026786</v>
      </c>
      <c r="F26" s="17">
        <v>0.009172</v>
      </c>
      <c r="H26" s="18">
        <v>12.0</v>
      </c>
      <c r="I26" s="18">
        <v>100000.0</v>
      </c>
      <c r="J26" s="18">
        <v>3.07539E-4</v>
      </c>
      <c r="K26" s="18">
        <v>0.8046688837</v>
      </c>
      <c r="L26" s="19">
        <v>0.013371</v>
      </c>
    </row>
    <row r="27">
      <c r="B27" s="18">
        <v>8.0</v>
      </c>
      <c r="C27" s="18">
        <v>1000000.0</v>
      </c>
      <c r="D27" s="18">
        <v>0.004293501</v>
      </c>
      <c r="E27" s="18">
        <v>0.8046643978</v>
      </c>
      <c r="F27" s="19">
        <v>0.013928</v>
      </c>
      <c r="H27" s="16">
        <v>12.0</v>
      </c>
      <c r="I27" s="16">
        <v>1000000.0</v>
      </c>
      <c r="J27" s="16">
        <v>0.002924381</v>
      </c>
      <c r="K27" s="16">
        <v>0.8047946209</v>
      </c>
      <c r="L27" s="17">
        <v>0.002253</v>
      </c>
    </row>
    <row r="28">
      <c r="B28" s="16">
        <v>8.0</v>
      </c>
      <c r="C28" s="16">
        <v>1.0E7</v>
      </c>
      <c r="D28" s="16">
        <v>0.041312048</v>
      </c>
      <c r="E28" s="16">
        <v>0.8047539053</v>
      </c>
      <c r="F28" s="17">
        <v>0.002806</v>
      </c>
      <c r="H28" s="18">
        <v>12.0</v>
      </c>
      <c r="I28" s="18">
        <v>1.0E7</v>
      </c>
      <c r="J28" s="18">
        <v>0.028347032</v>
      </c>
      <c r="K28" s="18">
        <v>0.8048658583</v>
      </c>
      <c r="L28" s="19">
        <v>0.011105</v>
      </c>
    </row>
    <row r="29">
      <c r="B29" s="18">
        <v>8.0</v>
      </c>
      <c r="C29" s="18">
        <v>1.0E8</v>
      </c>
      <c r="D29" s="18">
        <v>0.410727264</v>
      </c>
      <c r="E29" s="18">
        <v>0.8047816255</v>
      </c>
      <c r="F29" s="19">
        <v>6.38E-4</v>
      </c>
      <c r="H29" s="16">
        <v>12.0</v>
      </c>
      <c r="I29" s="16">
        <v>1.0E8</v>
      </c>
      <c r="J29" s="16">
        <v>0.284695334</v>
      </c>
      <c r="K29" s="16">
        <v>0.8047540505</v>
      </c>
      <c r="L29" s="17">
        <v>0.002788</v>
      </c>
    </row>
    <row r="30">
      <c r="B30" s="16">
        <v>8.0</v>
      </c>
      <c r="C30" s="16">
        <v>1.0E9</v>
      </c>
      <c r="D30" s="16">
        <v>4.116168207</v>
      </c>
      <c r="E30" s="16">
        <v>0.804780358</v>
      </c>
      <c r="F30" s="17">
        <v>4.81E-4</v>
      </c>
      <c r="H30" s="18">
        <v>12.0</v>
      </c>
      <c r="I30" s="18">
        <v>1.0E9</v>
      </c>
      <c r="J30" s="18">
        <v>2.793923279</v>
      </c>
      <c r="K30" s="18">
        <v>0.804787493</v>
      </c>
      <c r="L30" s="19">
        <v>0.001367</v>
      </c>
    </row>
    <row r="32">
      <c r="B32" s="6" t="s">
        <v>6</v>
      </c>
      <c r="C32" s="6" t="s">
        <v>7</v>
      </c>
      <c r="D32" s="6" t="s">
        <v>8</v>
      </c>
      <c r="E32" s="6" t="s">
        <v>9</v>
      </c>
      <c r="F32" s="6" t="s">
        <v>10</v>
      </c>
      <c r="H32" s="6" t="s">
        <v>6</v>
      </c>
      <c r="I32" s="6" t="s">
        <v>7</v>
      </c>
      <c r="J32" s="6" t="s">
        <v>8</v>
      </c>
      <c r="K32" s="6" t="s">
        <v>9</v>
      </c>
      <c r="L32" s="6" t="s">
        <v>10</v>
      </c>
    </row>
    <row r="33">
      <c r="B33" s="16">
        <v>16.0</v>
      </c>
      <c r="C33" s="16">
        <v>1000.0</v>
      </c>
      <c r="D33" s="16">
        <v>2.5651E-5</v>
      </c>
      <c r="E33" s="16">
        <v>0.8051244851</v>
      </c>
      <c r="F33" s="17">
        <v>0.043241</v>
      </c>
      <c r="H33" s="18">
        <v>24.0</v>
      </c>
      <c r="I33" s="18">
        <v>1000.0</v>
      </c>
      <c r="J33" s="18">
        <v>2.8E-5</v>
      </c>
      <c r="K33" s="18">
        <v>0.8167088499</v>
      </c>
      <c r="L33" s="19">
        <v>1.482692</v>
      </c>
    </row>
    <row r="34">
      <c r="B34" s="18">
        <v>16.0</v>
      </c>
      <c r="C34" s="18">
        <v>10000.0</v>
      </c>
      <c r="D34" s="18">
        <v>4.2741E-5</v>
      </c>
      <c r="E34" s="18">
        <v>0.8049818865</v>
      </c>
      <c r="F34" s="19">
        <v>0.025522</v>
      </c>
      <c r="H34" s="16">
        <v>24.0</v>
      </c>
      <c r="I34" s="16">
        <v>10000.0</v>
      </c>
      <c r="J34" s="16">
        <v>3.9517E-5</v>
      </c>
      <c r="K34" s="16">
        <v>0.8044772768</v>
      </c>
      <c r="L34" s="17">
        <v>0.03718</v>
      </c>
    </row>
    <row r="35">
      <c r="B35" s="16">
        <v>16.0</v>
      </c>
      <c r="C35" s="16">
        <v>100000.0</v>
      </c>
      <c r="D35" s="16">
        <v>2.31251E-4</v>
      </c>
      <c r="E35" s="16">
        <v>0.804786629</v>
      </c>
      <c r="F35" s="17">
        <v>0.00126</v>
      </c>
      <c r="H35" s="18">
        <v>24.0</v>
      </c>
      <c r="I35" s="18">
        <v>100000.0</v>
      </c>
      <c r="J35" s="18">
        <v>1.86432E-4</v>
      </c>
      <c r="K35" s="18">
        <v>0.8056713714</v>
      </c>
      <c r="L35" s="19">
        <v>0.111196</v>
      </c>
    </row>
    <row r="36">
      <c r="B36" s="18">
        <v>16.0</v>
      </c>
      <c r="C36" s="18">
        <v>1000000.0</v>
      </c>
      <c r="D36" s="18">
        <v>0.002230573</v>
      </c>
      <c r="E36" s="18">
        <v>0.8048877124</v>
      </c>
      <c r="F36" s="19">
        <v>0.01382</v>
      </c>
      <c r="H36" s="16">
        <v>24.0</v>
      </c>
      <c r="I36" s="16">
        <v>1000000.0</v>
      </c>
      <c r="J36" s="16">
        <v>0.001481624</v>
      </c>
      <c r="K36" s="16">
        <v>0.8049670803</v>
      </c>
      <c r="L36" s="17">
        <v>0.023682</v>
      </c>
    </row>
    <row r="37">
      <c r="B37" s="16">
        <v>16.0</v>
      </c>
      <c r="C37" s="16">
        <v>1.0E7</v>
      </c>
      <c r="D37" s="16">
        <v>0.022523284</v>
      </c>
      <c r="E37" s="16">
        <v>0.8047489742</v>
      </c>
      <c r="F37" s="17">
        <v>0.003419</v>
      </c>
      <c r="H37" s="18">
        <v>24.0</v>
      </c>
      <c r="I37" s="18">
        <v>1.0E7</v>
      </c>
      <c r="J37" s="18">
        <v>0.01407746</v>
      </c>
      <c r="K37" s="18">
        <v>0.8048305485</v>
      </c>
      <c r="L37" s="19">
        <v>0.006717</v>
      </c>
    </row>
    <row r="38">
      <c r="B38" s="18">
        <v>16.0</v>
      </c>
      <c r="C38" s="18">
        <v>1.0E8</v>
      </c>
      <c r="D38" s="18">
        <v>0.212904132</v>
      </c>
      <c r="E38" s="18">
        <v>0.804785973</v>
      </c>
      <c r="F38" s="19">
        <v>0.001178</v>
      </c>
      <c r="H38" s="16">
        <v>24.0</v>
      </c>
      <c r="I38" s="16">
        <v>1.0E8</v>
      </c>
      <c r="J38" s="16">
        <v>0.144683308</v>
      </c>
      <c r="K38" s="16">
        <v>0.8047547922</v>
      </c>
      <c r="L38" s="17">
        <v>0.002696</v>
      </c>
    </row>
    <row r="39">
      <c r="B39" s="16">
        <v>16.0</v>
      </c>
      <c r="C39" s="16">
        <v>1.0E9</v>
      </c>
      <c r="D39" s="16">
        <v>2.183894931</v>
      </c>
      <c r="E39" s="16">
        <v>0.8047732369</v>
      </c>
      <c r="F39" s="17">
        <v>4.04E-4</v>
      </c>
      <c r="H39" s="18">
        <v>24.0</v>
      </c>
      <c r="I39" s="18">
        <v>1.0E9</v>
      </c>
      <c r="J39" s="18">
        <v>1.414047942</v>
      </c>
      <c r="K39" s="18">
        <v>0.8047779128</v>
      </c>
      <c r="L39" s="19">
        <v>1.77E-4</v>
      </c>
    </row>
    <row r="40">
      <c r="H40" s="16">
        <v>24.0</v>
      </c>
      <c r="I40" s="16">
        <v>1.0E10</v>
      </c>
      <c r="J40" s="16">
        <v>14.255962024</v>
      </c>
      <c r="K40" s="16">
        <v>0.8047779076</v>
      </c>
      <c r="L40" s="17">
        <v>1.76E-4</v>
      </c>
    </row>
    <row r="41">
      <c r="H41" s="18">
        <v>24.0</v>
      </c>
      <c r="I41" s="18">
        <v>1.0E11</v>
      </c>
      <c r="J41" s="18">
        <v>143.071703182</v>
      </c>
      <c r="K41" s="18">
        <v>0.8047765849</v>
      </c>
      <c r="L41" s="19">
        <v>1.2E-5</v>
      </c>
    </row>
    <row r="44">
      <c r="B44" s="6" t="s">
        <v>6</v>
      </c>
      <c r="C44" s="6" t="s">
        <v>7</v>
      </c>
      <c r="D44" s="6" t="s">
        <v>8</v>
      </c>
      <c r="E44" s="6" t="s">
        <v>9</v>
      </c>
      <c r="F44" s="6" t="s">
        <v>10</v>
      </c>
      <c r="H44" s="6" t="s">
        <v>6</v>
      </c>
      <c r="I44" s="6" t="s">
        <v>7</v>
      </c>
      <c r="J44" s="6" t="s">
        <v>8</v>
      </c>
      <c r="K44" s="6" t="s">
        <v>9</v>
      </c>
      <c r="L44" s="6" t="s">
        <v>10</v>
      </c>
    </row>
    <row r="45">
      <c r="B45" s="16">
        <v>32.0</v>
      </c>
      <c r="C45" s="16">
        <v>1000.0</v>
      </c>
      <c r="D45" s="16">
        <v>3.3613E-5</v>
      </c>
      <c r="E45" s="16">
        <v>0.7980828999</v>
      </c>
      <c r="F45" s="17">
        <v>0.831733</v>
      </c>
      <c r="H45" s="18">
        <v>48.0</v>
      </c>
      <c r="I45" s="18">
        <v>1000.0</v>
      </c>
      <c r="J45" s="18">
        <v>8.97116E-4</v>
      </c>
      <c r="K45" s="18">
        <v>0.8005595305</v>
      </c>
      <c r="L45" s="19">
        <v>0.523991</v>
      </c>
    </row>
    <row r="46">
      <c r="B46" s="18">
        <v>32.0</v>
      </c>
      <c r="C46" s="18">
        <v>10000.0</v>
      </c>
      <c r="D46" s="18">
        <v>4.4874E-5</v>
      </c>
      <c r="E46" s="18">
        <v>0.8059137092</v>
      </c>
      <c r="F46" s="19">
        <v>0.141309</v>
      </c>
      <c r="H46" s="16">
        <v>48.0</v>
      </c>
      <c r="I46" s="16">
        <v>10000.0</v>
      </c>
      <c r="J46" s="16">
        <v>4.76105E-4</v>
      </c>
      <c r="K46" s="16">
        <v>0.8060581672</v>
      </c>
      <c r="L46" s="17">
        <v>0.159259</v>
      </c>
    </row>
    <row r="47">
      <c r="B47" s="16">
        <v>32.0</v>
      </c>
      <c r="C47" s="16">
        <v>100000.0</v>
      </c>
      <c r="D47" s="16">
        <v>1.38378E-4</v>
      </c>
      <c r="E47" s="16">
        <v>0.804651608</v>
      </c>
      <c r="F47" s="17">
        <v>0.015518</v>
      </c>
      <c r="H47" s="18">
        <v>48.0</v>
      </c>
      <c r="I47" s="18">
        <v>100000.0</v>
      </c>
      <c r="J47" s="18">
        <v>1.17512E-4</v>
      </c>
      <c r="K47" s="18">
        <v>0.8050428808</v>
      </c>
      <c r="L47" s="19">
        <v>0.033101</v>
      </c>
    </row>
    <row r="48">
      <c r="B48" s="18">
        <v>32.0</v>
      </c>
      <c r="C48" s="18">
        <v>1000000.0</v>
      </c>
      <c r="D48" s="18">
        <v>0.001154204</v>
      </c>
      <c r="E48" s="18">
        <v>0.8047067332</v>
      </c>
      <c r="F48" s="19">
        <v>0.008668</v>
      </c>
      <c r="H48" s="16">
        <v>48.0</v>
      </c>
      <c r="I48" s="16">
        <v>1000000.0</v>
      </c>
      <c r="J48" s="16">
        <v>0.001014799</v>
      </c>
      <c r="K48" s="16">
        <v>0.8046340455</v>
      </c>
      <c r="L48" s="17">
        <v>0.0177</v>
      </c>
    </row>
    <row r="49">
      <c r="B49" s="16">
        <v>32.0</v>
      </c>
      <c r="C49" s="16">
        <v>1.0E7</v>
      </c>
      <c r="D49" s="16">
        <v>0.011366025</v>
      </c>
      <c r="E49" s="16">
        <v>0.8047000542</v>
      </c>
      <c r="F49" s="17">
        <v>0.009498</v>
      </c>
      <c r="H49" s="18">
        <v>48.0</v>
      </c>
      <c r="I49" s="18">
        <v>1.0E7</v>
      </c>
      <c r="J49" s="18">
        <v>0.007436997</v>
      </c>
      <c r="K49" s="18">
        <v>0.8048035397</v>
      </c>
      <c r="L49" s="19">
        <v>0.003361</v>
      </c>
    </row>
    <row r="50">
      <c r="B50" s="18">
        <v>32.0</v>
      </c>
      <c r="C50" s="18">
        <v>1.0E8</v>
      </c>
      <c r="D50" s="18">
        <v>0.1143142</v>
      </c>
      <c r="E50" s="18">
        <v>0.8047741609</v>
      </c>
      <c r="F50" s="19">
        <v>2.89E-4</v>
      </c>
      <c r="H50" s="16">
        <v>48.0</v>
      </c>
      <c r="I50" s="16">
        <v>1.0E8</v>
      </c>
      <c r="J50" s="16">
        <v>0.078074659</v>
      </c>
      <c r="K50" s="16">
        <v>0.8047859467</v>
      </c>
      <c r="L50" s="17">
        <v>0.001175</v>
      </c>
    </row>
    <row r="51">
      <c r="B51" s="16">
        <v>32.0</v>
      </c>
      <c r="C51" s="16">
        <v>1.0E9</v>
      </c>
      <c r="D51" s="16">
        <v>1.105697391</v>
      </c>
      <c r="E51" s="16">
        <v>0.8047694516</v>
      </c>
      <c r="F51" s="17">
        <v>8.74E-4</v>
      </c>
      <c r="H51" s="18">
        <v>48.0</v>
      </c>
      <c r="I51" s="18">
        <v>1.0E9</v>
      </c>
      <c r="J51" s="18">
        <v>0.718963173</v>
      </c>
      <c r="K51" s="18">
        <v>0.8047778677</v>
      </c>
      <c r="L51" s="19">
        <v>1.71E-4</v>
      </c>
    </row>
    <row r="52">
      <c r="B52" s="18">
        <v>32.0</v>
      </c>
      <c r="C52" s="18">
        <v>1.0E10</v>
      </c>
      <c r="D52" s="18">
        <v>10.764557925</v>
      </c>
      <c r="E52" s="18">
        <v>0.8047773396</v>
      </c>
      <c r="F52" s="19">
        <v>1.06E-4</v>
      </c>
      <c r="H52" s="16">
        <v>48.0</v>
      </c>
      <c r="I52" s="16">
        <v>1.0E10</v>
      </c>
      <c r="J52" s="16">
        <v>7.553927393</v>
      </c>
      <c r="K52" s="16">
        <v>0.804776971</v>
      </c>
      <c r="L52" s="17">
        <v>6.0E-5</v>
      </c>
    </row>
    <row r="53">
      <c r="B53" s="16">
        <v>32.0</v>
      </c>
      <c r="C53" s="16">
        <v>1.0E11</v>
      </c>
      <c r="D53" s="16">
        <v>111.352274709</v>
      </c>
      <c r="E53" s="16">
        <v>0.8047761785</v>
      </c>
      <c r="F53" s="17">
        <v>3.9E-5</v>
      </c>
      <c r="H53" s="18">
        <v>48.0</v>
      </c>
      <c r="I53" s="18">
        <v>1.0E11</v>
      </c>
      <c r="J53" s="18">
        <v>74.55063492</v>
      </c>
      <c r="K53" s="18">
        <v>0.8047766167</v>
      </c>
      <c r="L53" s="19">
        <v>1.6E-5</v>
      </c>
    </row>
    <row r="55">
      <c r="B55" s="6" t="s">
        <v>6</v>
      </c>
      <c r="C55" s="6" t="s">
        <v>7</v>
      </c>
      <c r="D55" s="6" t="s">
        <v>8</v>
      </c>
      <c r="E55" s="6" t="s">
        <v>9</v>
      </c>
      <c r="F55" s="6" t="s">
        <v>10</v>
      </c>
      <c r="H55" s="6" t="s">
        <v>6</v>
      </c>
      <c r="I55" s="6" t="s">
        <v>7</v>
      </c>
      <c r="J55" s="6" t="s">
        <v>8</v>
      </c>
      <c r="K55" s="6" t="s">
        <v>9</v>
      </c>
      <c r="L55" s="6" t="s">
        <v>10</v>
      </c>
    </row>
    <row r="56">
      <c r="B56" s="16">
        <v>64.0</v>
      </c>
      <c r="C56" s="16">
        <v>1000.0</v>
      </c>
      <c r="D56" s="16">
        <v>0.001132115</v>
      </c>
      <c r="E56" s="16">
        <v>0.8012475129</v>
      </c>
      <c r="F56" s="17">
        <v>0.438504</v>
      </c>
      <c r="H56" s="18">
        <v>96.0</v>
      </c>
      <c r="I56" s="18">
        <v>1000.0</v>
      </c>
      <c r="J56" s="18">
        <v>1.39614E-4</v>
      </c>
      <c r="K56" s="18">
        <v>0.8096073209</v>
      </c>
      <c r="L56" s="19">
        <v>0.60027</v>
      </c>
    </row>
    <row r="57">
      <c r="B57" s="18">
        <v>64.0</v>
      </c>
      <c r="C57" s="18">
        <v>10000.0</v>
      </c>
      <c r="D57" s="18">
        <v>3.8754E-5</v>
      </c>
      <c r="E57" s="18">
        <v>0.8056242299</v>
      </c>
      <c r="F57" s="19">
        <v>0.105339</v>
      </c>
      <c r="H57" s="16">
        <v>96.0</v>
      </c>
      <c r="I57" s="16">
        <v>10000.0</v>
      </c>
      <c r="J57" s="16">
        <v>5.7821E-5</v>
      </c>
      <c r="K57" s="16">
        <v>0.8028892261</v>
      </c>
      <c r="L57" s="17">
        <v>0.234508</v>
      </c>
    </row>
    <row r="58">
      <c r="B58" s="16">
        <v>64.0</v>
      </c>
      <c r="C58" s="16">
        <v>100000.0</v>
      </c>
      <c r="D58" s="16">
        <v>9.65761E-4</v>
      </c>
      <c r="E58" s="16">
        <v>0.8044148611</v>
      </c>
      <c r="F58" s="17">
        <v>0.044935</v>
      </c>
      <c r="H58" s="18">
        <v>96.0</v>
      </c>
      <c r="I58" s="18">
        <v>100000.0</v>
      </c>
      <c r="J58" s="18">
        <v>0.001100246</v>
      </c>
      <c r="K58" s="18">
        <v>0.8051172811</v>
      </c>
      <c r="L58" s="19">
        <v>0.042346</v>
      </c>
    </row>
    <row r="59">
      <c r="B59" s="18">
        <v>64.0</v>
      </c>
      <c r="C59" s="18">
        <v>1000000.0</v>
      </c>
      <c r="D59" s="18">
        <v>0.002371178</v>
      </c>
      <c r="E59" s="18">
        <v>0.8047456009</v>
      </c>
      <c r="F59" s="19">
        <v>0.003838</v>
      </c>
      <c r="H59" s="16">
        <v>96.0</v>
      </c>
      <c r="I59" s="16">
        <v>1000000.0</v>
      </c>
      <c r="J59" s="16">
        <v>5.08459E-4</v>
      </c>
      <c r="K59" s="16">
        <v>0.8046318876</v>
      </c>
      <c r="L59" s="17">
        <v>0.017968</v>
      </c>
    </row>
    <row r="60">
      <c r="B60" s="16">
        <v>64.0</v>
      </c>
      <c r="C60" s="16">
        <v>1.0E7</v>
      </c>
      <c r="D60" s="16">
        <v>0.007752562</v>
      </c>
      <c r="E60" s="16">
        <v>0.8047688133</v>
      </c>
      <c r="F60" s="17">
        <v>9.54E-4</v>
      </c>
      <c r="H60" s="18">
        <v>96.0</v>
      </c>
      <c r="I60" s="18">
        <v>1.0E7</v>
      </c>
      <c r="J60" s="18">
        <v>0.004871283</v>
      </c>
      <c r="K60" s="18">
        <v>0.8047148417</v>
      </c>
      <c r="L60" s="19">
        <v>0.00766</v>
      </c>
    </row>
    <row r="61">
      <c r="B61" s="18">
        <v>64.0</v>
      </c>
      <c r="C61" s="18">
        <v>1.0E8</v>
      </c>
      <c r="D61" s="18">
        <v>0.060072229</v>
      </c>
      <c r="E61" s="18">
        <v>0.8047741001</v>
      </c>
      <c r="F61" s="19">
        <v>2.97E-4</v>
      </c>
      <c r="H61" s="16">
        <v>96.0</v>
      </c>
      <c r="I61" s="16">
        <v>1.0E8</v>
      </c>
      <c r="J61" s="16">
        <v>0.045618227</v>
      </c>
      <c r="K61" s="16">
        <v>0.8047735055</v>
      </c>
      <c r="L61" s="17">
        <v>3.71E-4</v>
      </c>
    </row>
    <row r="62">
      <c r="B62" s="16">
        <v>64.0</v>
      </c>
      <c r="C62" s="16">
        <v>1.0E9</v>
      </c>
      <c r="D62" s="16">
        <v>0.574344223</v>
      </c>
      <c r="E62" s="16">
        <v>0.8047771732</v>
      </c>
      <c r="F62" s="17">
        <v>8.5E-5</v>
      </c>
      <c r="H62" s="18">
        <v>96.0</v>
      </c>
      <c r="I62" s="18">
        <v>1.0E9</v>
      </c>
      <c r="J62" s="18">
        <v>0.459652438</v>
      </c>
      <c r="K62" s="18">
        <v>0.8047691257</v>
      </c>
      <c r="L62" s="19">
        <v>9.15E-4</v>
      </c>
    </row>
    <row r="63">
      <c r="B63" s="18">
        <v>64.0</v>
      </c>
      <c r="C63" s="18">
        <v>1.0E10</v>
      </c>
      <c r="D63" s="18">
        <v>5.996475999</v>
      </c>
      <c r="E63" s="18">
        <v>0.8047782671</v>
      </c>
      <c r="F63" s="19">
        <v>2.21E-4</v>
      </c>
      <c r="H63" s="16">
        <v>96.0</v>
      </c>
      <c r="I63" s="16">
        <v>1.0E10</v>
      </c>
      <c r="J63" s="16">
        <v>4.371394465</v>
      </c>
      <c r="K63" s="16">
        <v>0.804773716</v>
      </c>
      <c r="L63" s="17">
        <v>3.45E-4</v>
      </c>
    </row>
    <row r="64">
      <c r="B64" s="16">
        <v>64.0</v>
      </c>
      <c r="C64" s="16">
        <v>1.0E11</v>
      </c>
      <c r="D64" s="16">
        <v>59.372338264</v>
      </c>
      <c r="E64" s="16">
        <v>0.8047762362</v>
      </c>
      <c r="F64" s="17">
        <v>3.1E-5</v>
      </c>
      <c r="H64" s="20">
        <v>96.0</v>
      </c>
      <c r="I64" s="20">
        <v>1.0E11</v>
      </c>
      <c r="J64" s="20">
        <v>42.395133556</v>
      </c>
      <c r="K64" s="20">
        <v>0.8047769629</v>
      </c>
      <c r="L64" s="21">
        <v>5.9E-5</v>
      </c>
    </row>
  </sheetData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4.0"/>
    <col customWidth="1" min="4" max="4" width="17.0"/>
    <col customWidth="1" min="5" max="6" width="12.0"/>
  </cols>
  <sheetData>
    <row r="1">
      <c r="A1" s="1" t="s">
        <v>18</v>
      </c>
    </row>
    <row r="2">
      <c r="A2" s="2"/>
    </row>
    <row r="4">
      <c r="A4" s="5" t="s">
        <v>5</v>
      </c>
    </row>
    <row r="5" ht="31.5" customHeight="1">
      <c r="A5" s="6" t="s">
        <v>6</v>
      </c>
      <c r="B5" s="6" t="s">
        <v>7</v>
      </c>
      <c r="C5" s="6" t="s">
        <v>8</v>
      </c>
      <c r="D5" s="6" t="s">
        <v>9</v>
      </c>
      <c r="E5" s="6" t="s">
        <v>19</v>
      </c>
      <c r="F5" s="6" t="s">
        <v>20</v>
      </c>
    </row>
    <row r="6">
      <c r="A6" s="8">
        <v>1.0</v>
      </c>
      <c r="B6" s="9">
        <v>1000.0</v>
      </c>
      <c r="C6" s="10">
        <v>9.753E-6</v>
      </c>
      <c r="D6" s="11">
        <v>0.89250459743</v>
      </c>
      <c r="E6" s="22">
        <f t="shared" ref="E6:E11" si="1">$C$6/C6</f>
        <v>1</v>
      </c>
      <c r="F6" s="23">
        <f t="shared" ref="F6:F11" si="2">E6/A6</f>
        <v>1</v>
      </c>
    </row>
    <row r="7">
      <c r="A7" s="8">
        <v>2.0</v>
      </c>
      <c r="B7" s="9">
        <v>1000.0</v>
      </c>
      <c r="C7" s="10">
        <v>6.207E-6</v>
      </c>
      <c r="D7" s="11">
        <v>0.885919612453333</v>
      </c>
      <c r="E7" s="22">
        <f t="shared" si="1"/>
        <v>1.571290478</v>
      </c>
      <c r="F7" s="23">
        <f t="shared" si="2"/>
        <v>0.7856452392</v>
      </c>
    </row>
    <row r="8">
      <c r="A8" s="8">
        <v>4.0</v>
      </c>
      <c r="B8" s="9">
        <v>1000.0</v>
      </c>
      <c r="C8" s="10">
        <v>6.006E-6</v>
      </c>
      <c r="D8" s="11">
        <v>0.879784256686667</v>
      </c>
      <c r="E8" s="22">
        <f t="shared" si="1"/>
        <v>1.623876124</v>
      </c>
      <c r="F8" s="23">
        <f t="shared" si="2"/>
        <v>0.405969031</v>
      </c>
    </row>
    <row r="9">
      <c r="A9" s="8">
        <v>8.0</v>
      </c>
      <c r="B9" s="9">
        <v>1000.0</v>
      </c>
      <c r="C9" s="10">
        <v>1.2118E-5</v>
      </c>
      <c r="D9" s="11">
        <v>0.877344684923333</v>
      </c>
      <c r="E9" s="22">
        <f t="shared" si="1"/>
        <v>0.8048357815</v>
      </c>
      <c r="F9" s="23">
        <f t="shared" si="2"/>
        <v>0.1006044727</v>
      </c>
    </row>
    <row r="10">
      <c r="A10" s="8">
        <v>12.0</v>
      </c>
      <c r="B10" s="9">
        <v>1000.0</v>
      </c>
      <c r="C10" s="10">
        <v>2.00375E-5</v>
      </c>
      <c r="D10" s="11">
        <v>0.890762306336667</v>
      </c>
      <c r="E10" s="22">
        <f t="shared" si="1"/>
        <v>0.4867373674</v>
      </c>
      <c r="F10" s="23">
        <f t="shared" si="2"/>
        <v>0.04056144729</v>
      </c>
    </row>
    <row r="11">
      <c r="A11" s="8">
        <v>16.0</v>
      </c>
      <c r="B11" s="9">
        <v>1000.0</v>
      </c>
      <c r="C11" s="10">
        <v>3.967E-5</v>
      </c>
      <c r="D11" s="11">
        <v>0.888048520996667</v>
      </c>
      <c r="E11" s="22">
        <f t="shared" si="1"/>
        <v>0.2458532896</v>
      </c>
      <c r="F11" s="23">
        <f t="shared" si="2"/>
        <v>0.0153658306</v>
      </c>
    </row>
    <row r="14">
      <c r="A14" s="5" t="s">
        <v>11</v>
      </c>
    </row>
    <row r="15">
      <c r="A15" s="6" t="s">
        <v>6</v>
      </c>
      <c r="B15" s="6" t="s">
        <v>7</v>
      </c>
      <c r="C15" s="6" t="s">
        <v>8</v>
      </c>
      <c r="D15" s="6" t="s">
        <v>9</v>
      </c>
      <c r="E15" s="6" t="s">
        <v>19</v>
      </c>
      <c r="F15" s="6" t="s">
        <v>20</v>
      </c>
    </row>
    <row r="16">
      <c r="A16" s="8">
        <v>1.0</v>
      </c>
      <c r="B16" s="9">
        <v>1000.0</v>
      </c>
      <c r="C16" s="10">
        <v>2.97905E-5</v>
      </c>
      <c r="D16" s="11">
        <v>0.810458983516667</v>
      </c>
      <c r="E16" s="22">
        <f t="shared" ref="E16:E21" si="3">$C$16/C16</f>
        <v>1</v>
      </c>
      <c r="F16" s="23">
        <f t="shared" ref="F16:F21" si="4">E16/A16</f>
        <v>1</v>
      </c>
    </row>
    <row r="17">
      <c r="A17" s="8">
        <v>2.0</v>
      </c>
      <c r="B17" s="9">
        <v>1000.0</v>
      </c>
      <c r="C17" s="10">
        <v>1.84645E-5</v>
      </c>
      <c r="D17" s="11">
        <v>0.806741975793333</v>
      </c>
      <c r="E17" s="22">
        <f t="shared" si="3"/>
        <v>1.613393268</v>
      </c>
      <c r="F17" s="23">
        <f t="shared" si="4"/>
        <v>0.8066966341</v>
      </c>
    </row>
    <row r="18">
      <c r="A18" s="8">
        <v>4.0</v>
      </c>
      <c r="B18" s="9">
        <v>1000.0</v>
      </c>
      <c r="C18" s="10">
        <v>1.375E-5</v>
      </c>
      <c r="D18" s="11">
        <v>0.801775560206667</v>
      </c>
      <c r="E18" s="22">
        <f t="shared" si="3"/>
        <v>2.166581818</v>
      </c>
      <c r="F18" s="23">
        <f t="shared" si="4"/>
        <v>0.5416454545</v>
      </c>
    </row>
    <row r="19">
      <c r="A19" s="8">
        <v>8.0</v>
      </c>
      <c r="B19" s="9">
        <v>1000.0</v>
      </c>
      <c r="C19" s="10">
        <v>1.68615E-5</v>
      </c>
      <c r="D19" s="11">
        <v>0.803878902656667</v>
      </c>
      <c r="E19" s="22">
        <f t="shared" si="3"/>
        <v>1.766776384</v>
      </c>
      <c r="F19" s="23">
        <f t="shared" si="4"/>
        <v>0.220847048</v>
      </c>
    </row>
    <row r="20">
      <c r="A20" s="8">
        <v>12.0</v>
      </c>
      <c r="B20" s="9">
        <v>1000.0</v>
      </c>
      <c r="C20" s="10">
        <v>2.08645E-5</v>
      </c>
      <c r="D20" s="11">
        <v>0.795924624883333</v>
      </c>
      <c r="E20" s="22">
        <f t="shared" si="3"/>
        <v>1.427807999</v>
      </c>
      <c r="F20" s="23">
        <f t="shared" si="4"/>
        <v>0.1189839999</v>
      </c>
    </row>
    <row r="21" ht="15.75" customHeight="1">
      <c r="A21" s="8">
        <v>16.0</v>
      </c>
      <c r="B21" s="9">
        <v>1000.0</v>
      </c>
      <c r="C21" s="10">
        <v>4.2024E-5</v>
      </c>
      <c r="D21" s="11">
        <v>0.813882035916667</v>
      </c>
      <c r="E21" s="22">
        <f t="shared" si="3"/>
        <v>0.7088925376</v>
      </c>
      <c r="F21" s="23">
        <f t="shared" si="4"/>
        <v>0.0443057836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4.0"/>
    <col customWidth="1" min="4" max="4" width="17.0"/>
    <col customWidth="1" min="5" max="6" width="12.0"/>
  </cols>
  <sheetData>
    <row r="1">
      <c r="A1" s="1" t="s">
        <v>21</v>
      </c>
    </row>
    <row r="2">
      <c r="A2" s="2"/>
    </row>
    <row r="4">
      <c r="A4" s="5" t="s">
        <v>5</v>
      </c>
    </row>
    <row r="5" ht="31.5" customHeight="1">
      <c r="A5" s="6" t="s">
        <v>6</v>
      </c>
      <c r="B5" s="6" t="s">
        <v>7</v>
      </c>
      <c r="C5" s="6" t="s">
        <v>8</v>
      </c>
      <c r="D5" s="6" t="s">
        <v>9</v>
      </c>
      <c r="E5" s="6" t="s">
        <v>19</v>
      </c>
      <c r="F5" s="6" t="s">
        <v>20</v>
      </c>
    </row>
    <row r="6">
      <c r="A6" s="8">
        <v>1.0</v>
      </c>
      <c r="B6" s="9">
        <v>10000.0</v>
      </c>
      <c r="C6" s="10">
        <v>9.5374E-5</v>
      </c>
      <c r="D6" s="11">
        <v>0.88450553738</v>
      </c>
      <c r="E6" s="22">
        <f t="shared" ref="E6:E11" si="1">$C$6/C6</f>
        <v>1</v>
      </c>
      <c r="F6" s="23">
        <f t="shared" ref="F6:F11" si="2">E6/A6</f>
        <v>1</v>
      </c>
    </row>
    <row r="7">
      <c r="A7" s="8">
        <v>2.0</v>
      </c>
      <c r="B7" s="9">
        <v>10000.0</v>
      </c>
      <c r="C7" s="10">
        <v>4.9603E-5</v>
      </c>
      <c r="D7" s="11">
        <v>0.881815890516667</v>
      </c>
      <c r="E7" s="22">
        <f t="shared" si="1"/>
        <v>1.922746608</v>
      </c>
      <c r="F7" s="23">
        <f t="shared" si="2"/>
        <v>0.961373304</v>
      </c>
    </row>
    <row r="8">
      <c r="A8" s="8">
        <v>4.0</v>
      </c>
      <c r="B8" s="9">
        <v>10000.0</v>
      </c>
      <c r="C8" s="10">
        <v>3.12935E-5</v>
      </c>
      <c r="D8" s="11">
        <v>0.881980369853333</v>
      </c>
      <c r="E8" s="22">
        <f t="shared" si="1"/>
        <v>3.047725566</v>
      </c>
      <c r="F8" s="23">
        <f t="shared" si="2"/>
        <v>0.7619313915</v>
      </c>
    </row>
    <row r="9">
      <c r="A9" s="8">
        <v>8.0</v>
      </c>
      <c r="B9" s="9">
        <v>10000.0</v>
      </c>
      <c r="C9" s="10">
        <v>2.2953E-5</v>
      </c>
      <c r="D9" s="11">
        <v>0.881299878643333</v>
      </c>
      <c r="E9" s="22">
        <f t="shared" si="1"/>
        <v>4.155186686</v>
      </c>
      <c r="F9" s="23">
        <f t="shared" si="2"/>
        <v>0.5193983357</v>
      </c>
    </row>
    <row r="10">
      <c r="A10" s="8">
        <v>12.0</v>
      </c>
      <c r="B10" s="9">
        <v>10000.0</v>
      </c>
      <c r="C10" s="10">
        <v>3.78815E-5</v>
      </c>
      <c r="D10" s="11">
        <v>0.882012644136667</v>
      </c>
      <c r="E10" s="22">
        <f t="shared" si="1"/>
        <v>2.517693333</v>
      </c>
      <c r="F10" s="23">
        <f t="shared" si="2"/>
        <v>0.2098077778</v>
      </c>
    </row>
    <row r="11">
      <c r="A11" s="8">
        <v>16.0</v>
      </c>
      <c r="B11" s="9">
        <v>10000.0</v>
      </c>
      <c r="C11" s="10">
        <v>5.9963E-5</v>
      </c>
      <c r="D11" s="11">
        <v>0.88175597145</v>
      </c>
      <c r="E11" s="22">
        <f t="shared" si="1"/>
        <v>1.590547504</v>
      </c>
      <c r="F11" s="23">
        <f t="shared" si="2"/>
        <v>0.09940921902</v>
      </c>
    </row>
    <row r="14">
      <c r="A14" s="5" t="s">
        <v>11</v>
      </c>
    </row>
    <row r="15">
      <c r="A15" s="6" t="s">
        <v>6</v>
      </c>
      <c r="B15" s="6" t="s">
        <v>7</v>
      </c>
      <c r="C15" s="6" t="s">
        <v>8</v>
      </c>
      <c r="D15" s="6" t="s">
        <v>9</v>
      </c>
      <c r="E15" s="6" t="s">
        <v>19</v>
      </c>
      <c r="F15" s="6" t="s">
        <v>20</v>
      </c>
    </row>
    <row r="16">
      <c r="A16" s="8">
        <v>1.0</v>
      </c>
      <c r="B16" s="9">
        <v>10000.0</v>
      </c>
      <c r="C16" s="10">
        <v>2.52448E-4</v>
      </c>
      <c r="D16" s="11">
        <v>0.806630657896667</v>
      </c>
      <c r="E16" s="22">
        <f t="shared" ref="E16:E21" si="3">$C$16/C16</f>
        <v>1</v>
      </c>
      <c r="F16" s="23">
        <f t="shared" ref="F16:F21" si="4">E16/A16</f>
        <v>1</v>
      </c>
    </row>
    <row r="17">
      <c r="A17" s="8">
        <v>2.0</v>
      </c>
      <c r="B17" s="9">
        <v>10000.0</v>
      </c>
      <c r="C17" s="10">
        <v>1.31291E-4</v>
      </c>
      <c r="D17" s="11">
        <v>0.805873331946666</v>
      </c>
      <c r="E17" s="22">
        <f t="shared" si="3"/>
        <v>1.922812683</v>
      </c>
      <c r="F17" s="23">
        <f t="shared" si="4"/>
        <v>0.9614063416</v>
      </c>
    </row>
    <row r="18">
      <c r="A18" s="8">
        <v>4.0</v>
      </c>
      <c r="B18" s="9">
        <v>10000.0</v>
      </c>
      <c r="C18" s="10">
        <v>7.25205E-5</v>
      </c>
      <c r="D18" s="11">
        <v>0.80407799217</v>
      </c>
      <c r="E18" s="22">
        <f t="shared" si="3"/>
        <v>3.48105708</v>
      </c>
      <c r="F18" s="23">
        <f t="shared" si="4"/>
        <v>0.8702642701</v>
      </c>
    </row>
    <row r="19">
      <c r="A19" s="8">
        <v>8.0</v>
      </c>
      <c r="B19" s="9">
        <v>10000.0</v>
      </c>
      <c r="C19" s="10">
        <v>5.19075E-5</v>
      </c>
      <c r="D19" s="11">
        <v>0.804897336126667</v>
      </c>
      <c r="E19" s="22">
        <f t="shared" si="3"/>
        <v>4.863420508</v>
      </c>
      <c r="F19" s="23">
        <f t="shared" si="4"/>
        <v>0.6079275635</v>
      </c>
    </row>
    <row r="20">
      <c r="A20" s="8">
        <v>12.0</v>
      </c>
      <c r="B20" s="9">
        <v>10000.0</v>
      </c>
      <c r="C20" s="10">
        <v>5.45175E-5</v>
      </c>
      <c r="D20" s="11">
        <v>0.803550971193333</v>
      </c>
      <c r="E20" s="22">
        <f t="shared" si="3"/>
        <v>4.630586509</v>
      </c>
      <c r="F20" s="23">
        <f t="shared" si="4"/>
        <v>0.3858822091</v>
      </c>
    </row>
    <row r="21" ht="15.75" customHeight="1">
      <c r="A21" s="8">
        <v>16.0</v>
      </c>
      <c r="B21" s="9">
        <v>10000.0</v>
      </c>
      <c r="C21" s="10">
        <v>8.46595E-5</v>
      </c>
      <c r="D21" s="11">
        <v>0.80325665994</v>
      </c>
      <c r="E21" s="22">
        <f t="shared" si="3"/>
        <v>2.981921698</v>
      </c>
      <c r="F21" s="23">
        <f t="shared" si="4"/>
        <v>0.1863701061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4.0"/>
    <col customWidth="1" min="4" max="4" width="17.0"/>
    <col customWidth="1" min="5" max="6" width="12.0"/>
  </cols>
  <sheetData>
    <row r="1">
      <c r="A1" s="1" t="s">
        <v>22</v>
      </c>
    </row>
    <row r="2">
      <c r="A2" s="2"/>
    </row>
    <row r="4">
      <c r="A4" s="5" t="s">
        <v>5</v>
      </c>
    </row>
    <row r="5" ht="31.5" customHeight="1">
      <c r="A5" s="6" t="s">
        <v>6</v>
      </c>
      <c r="B5" s="6" t="s">
        <v>7</v>
      </c>
      <c r="C5" s="6" t="s">
        <v>8</v>
      </c>
      <c r="D5" s="6" t="s">
        <v>9</v>
      </c>
      <c r="E5" s="6" t="s">
        <v>19</v>
      </c>
      <c r="F5" s="6" t="s">
        <v>20</v>
      </c>
    </row>
    <row r="6">
      <c r="A6" s="8">
        <v>1.0</v>
      </c>
      <c r="B6" s="9">
        <v>100000.0</v>
      </c>
      <c r="C6" s="10">
        <v>9.960815E-4</v>
      </c>
      <c r="D6" s="11">
        <v>0.882277645996667</v>
      </c>
      <c r="E6" s="22">
        <f t="shared" ref="E6:E11" si="1">$C$6/C6</f>
        <v>1</v>
      </c>
      <c r="F6" s="23">
        <f t="shared" ref="F6:F11" si="2">E6/A6</f>
        <v>1</v>
      </c>
    </row>
    <row r="7">
      <c r="A7" s="8">
        <v>2.0</v>
      </c>
      <c r="B7" s="9">
        <v>100000.0</v>
      </c>
      <c r="C7" s="10">
        <v>4.86383E-4</v>
      </c>
      <c r="D7" s="11">
        <v>0.881494236103334</v>
      </c>
      <c r="E7" s="22">
        <f t="shared" si="1"/>
        <v>2.047936503</v>
      </c>
      <c r="F7" s="23">
        <f t="shared" si="2"/>
        <v>1.023968251</v>
      </c>
    </row>
    <row r="8">
      <c r="A8" s="8">
        <v>4.0</v>
      </c>
      <c r="B8" s="9">
        <v>100000.0</v>
      </c>
      <c r="C8" s="10">
        <v>2.84945E-4</v>
      </c>
      <c r="D8" s="11">
        <v>0.882147092343333</v>
      </c>
      <c r="E8" s="22">
        <f t="shared" si="1"/>
        <v>3.495697415</v>
      </c>
      <c r="F8" s="23">
        <f t="shared" si="2"/>
        <v>0.8739243538</v>
      </c>
    </row>
    <row r="9">
      <c r="A9" s="8">
        <v>8.0</v>
      </c>
      <c r="B9" s="9">
        <v>100000.0</v>
      </c>
      <c r="C9" s="10">
        <v>1.692275E-4</v>
      </c>
      <c r="D9" s="11">
        <v>0.88212153485</v>
      </c>
      <c r="E9" s="22">
        <f t="shared" si="1"/>
        <v>5.886049844</v>
      </c>
      <c r="F9" s="23">
        <f t="shared" si="2"/>
        <v>0.7357562305</v>
      </c>
    </row>
    <row r="10">
      <c r="A10" s="8">
        <v>12.0</v>
      </c>
      <c r="B10" s="9">
        <v>100000.0</v>
      </c>
      <c r="C10" s="10">
        <v>2.69222E-4</v>
      </c>
      <c r="D10" s="11">
        <v>0.882202336846667</v>
      </c>
      <c r="E10" s="22">
        <f t="shared" si="1"/>
        <v>3.699851795</v>
      </c>
      <c r="F10" s="23">
        <f t="shared" si="2"/>
        <v>0.3083209829</v>
      </c>
    </row>
    <row r="11">
      <c r="A11" s="8">
        <v>16.0</v>
      </c>
      <c r="B11" s="9">
        <v>100000.0</v>
      </c>
      <c r="C11" s="10">
        <v>3.39279E-4</v>
      </c>
      <c r="D11" s="11">
        <v>0.88238759843</v>
      </c>
      <c r="E11" s="22">
        <f t="shared" si="1"/>
        <v>2.935877257</v>
      </c>
      <c r="F11" s="23">
        <f t="shared" si="2"/>
        <v>0.1834923286</v>
      </c>
    </row>
    <row r="14">
      <c r="A14" s="5" t="s">
        <v>11</v>
      </c>
    </row>
    <row r="15">
      <c r="A15" s="6" t="s">
        <v>6</v>
      </c>
      <c r="B15" s="6" t="s">
        <v>7</v>
      </c>
      <c r="C15" s="6" t="s">
        <v>8</v>
      </c>
      <c r="D15" s="6" t="s">
        <v>9</v>
      </c>
      <c r="E15" s="6" t="s">
        <v>19</v>
      </c>
      <c r="F15" s="6" t="s">
        <v>20</v>
      </c>
    </row>
    <row r="16">
      <c r="A16" s="8">
        <v>1.0</v>
      </c>
      <c r="B16" s="9">
        <v>100000.0</v>
      </c>
      <c r="C16" s="10">
        <v>0.0026000215</v>
      </c>
      <c r="D16" s="11">
        <v>0.805037256213333</v>
      </c>
      <c r="E16" s="22">
        <f t="shared" ref="E16:E21" si="3">$C$16/C16</f>
        <v>1</v>
      </c>
      <c r="F16" s="23">
        <f t="shared" ref="F16:F21" si="4">E16/A16</f>
        <v>1</v>
      </c>
    </row>
    <row r="17">
      <c r="A17" s="8">
        <v>2.0</v>
      </c>
      <c r="B17" s="9">
        <v>100000.0</v>
      </c>
      <c r="C17" s="10">
        <v>0.0012920685</v>
      </c>
      <c r="D17" s="11">
        <v>0.804259890106667</v>
      </c>
      <c r="E17" s="22">
        <f t="shared" si="3"/>
        <v>2.012293853</v>
      </c>
      <c r="F17" s="23">
        <f t="shared" si="4"/>
        <v>1.006146926</v>
      </c>
    </row>
    <row r="18">
      <c r="A18" s="8">
        <v>4.0</v>
      </c>
      <c r="B18" s="9">
        <v>100000.0</v>
      </c>
      <c r="C18" s="10">
        <v>7.347535E-4</v>
      </c>
      <c r="D18" s="11">
        <v>0.804527086043333</v>
      </c>
      <c r="E18" s="22">
        <f t="shared" si="3"/>
        <v>3.538630983</v>
      </c>
      <c r="F18" s="23">
        <f t="shared" si="4"/>
        <v>0.8846577458</v>
      </c>
    </row>
    <row r="19">
      <c r="A19" s="8">
        <v>8.0</v>
      </c>
      <c r="B19" s="9">
        <v>100000.0</v>
      </c>
      <c r="C19" s="10">
        <v>4.00727E-4</v>
      </c>
      <c r="D19" s="11">
        <v>0.80512496379</v>
      </c>
      <c r="E19" s="22">
        <f t="shared" si="3"/>
        <v>6.488261335</v>
      </c>
      <c r="F19" s="23">
        <f t="shared" si="4"/>
        <v>0.8110326669</v>
      </c>
    </row>
    <row r="20">
      <c r="A20" s="8">
        <v>12.0</v>
      </c>
      <c r="B20" s="9">
        <v>100000.0</v>
      </c>
      <c r="C20" s="10">
        <v>5.10431E-4</v>
      </c>
      <c r="D20" s="11">
        <v>0.804120435813333</v>
      </c>
      <c r="E20" s="22">
        <f t="shared" si="3"/>
        <v>5.093776632</v>
      </c>
      <c r="F20" s="23">
        <f t="shared" si="4"/>
        <v>0.424481386</v>
      </c>
    </row>
    <row r="21" ht="15.75" customHeight="1">
      <c r="A21" s="8">
        <v>16.0</v>
      </c>
      <c r="B21" s="9">
        <v>100000.0</v>
      </c>
      <c r="C21" s="10">
        <v>4.13574E-4</v>
      </c>
      <c r="D21" s="11">
        <v>0.804332280406667</v>
      </c>
      <c r="E21" s="22">
        <f t="shared" si="3"/>
        <v>6.286714107</v>
      </c>
      <c r="F21" s="23">
        <f t="shared" si="4"/>
        <v>0.3929196317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4.0"/>
    <col customWidth="1" min="4" max="4" width="17.0"/>
    <col customWidth="1" min="5" max="6" width="12.0"/>
  </cols>
  <sheetData>
    <row r="1">
      <c r="A1" s="1" t="s">
        <v>23</v>
      </c>
    </row>
    <row r="2">
      <c r="A2" s="2"/>
    </row>
    <row r="4">
      <c r="A4" s="5" t="s">
        <v>5</v>
      </c>
    </row>
    <row r="5" ht="31.5" customHeight="1">
      <c r="A5" s="6" t="s">
        <v>6</v>
      </c>
      <c r="B5" s="6" t="s">
        <v>7</v>
      </c>
      <c r="C5" s="6" t="s">
        <v>8</v>
      </c>
      <c r="D5" s="6" t="s">
        <v>9</v>
      </c>
      <c r="E5" s="6" t="s">
        <v>19</v>
      </c>
      <c r="F5" s="6" t="s">
        <v>20</v>
      </c>
    </row>
    <row r="6">
      <c r="A6" s="8">
        <v>1.0</v>
      </c>
      <c r="B6" s="9">
        <v>1000000.0</v>
      </c>
      <c r="C6" s="10">
        <v>0.0096374035</v>
      </c>
      <c r="D6" s="11">
        <v>0.882255786706667</v>
      </c>
      <c r="E6" s="22">
        <f t="shared" ref="E6:E11" si="1">$C$6/C6</f>
        <v>1</v>
      </c>
      <c r="F6" s="23">
        <f t="shared" ref="F6:F11" si="2">E6/A6</f>
        <v>1</v>
      </c>
    </row>
    <row r="7">
      <c r="A7" s="8">
        <v>2.0</v>
      </c>
      <c r="B7" s="9">
        <v>1000000.0</v>
      </c>
      <c r="C7" s="10">
        <v>0.004922515</v>
      </c>
      <c r="D7" s="11">
        <v>0.882073861953334</v>
      </c>
      <c r="E7" s="22">
        <f t="shared" si="1"/>
        <v>1.957821053</v>
      </c>
      <c r="F7" s="23">
        <f t="shared" si="2"/>
        <v>0.9789105264</v>
      </c>
    </row>
    <row r="8">
      <c r="A8" s="8">
        <v>4.0</v>
      </c>
      <c r="B8" s="9">
        <v>1000000.0</v>
      </c>
      <c r="C8" s="10">
        <v>0.002800879</v>
      </c>
      <c r="D8" s="11">
        <v>0.882096102283333</v>
      </c>
      <c r="E8" s="22">
        <f t="shared" si="1"/>
        <v>3.44084964</v>
      </c>
      <c r="F8" s="23">
        <f t="shared" si="2"/>
        <v>0.8602124101</v>
      </c>
    </row>
    <row r="9">
      <c r="A9" s="8">
        <v>8.0</v>
      </c>
      <c r="B9" s="9">
        <v>1000000.0</v>
      </c>
      <c r="C9" s="10">
        <v>0.0018756085</v>
      </c>
      <c r="D9" s="11">
        <v>0.88201893805</v>
      </c>
      <c r="E9" s="22">
        <f t="shared" si="1"/>
        <v>5.13828099</v>
      </c>
      <c r="F9" s="23">
        <f t="shared" si="2"/>
        <v>0.6422851237</v>
      </c>
    </row>
    <row r="10">
      <c r="A10" s="8">
        <v>12.0</v>
      </c>
      <c r="B10" s="9">
        <v>1000000.0</v>
      </c>
      <c r="C10" s="10">
        <v>0.002615716</v>
      </c>
      <c r="D10" s="11">
        <v>0.881968204596667</v>
      </c>
      <c r="E10" s="22">
        <f t="shared" si="1"/>
        <v>3.684422735</v>
      </c>
      <c r="F10" s="23">
        <f t="shared" si="2"/>
        <v>0.307035228</v>
      </c>
    </row>
    <row r="11">
      <c r="A11" s="8">
        <v>16.0</v>
      </c>
      <c r="B11" s="9">
        <v>1000000.0</v>
      </c>
      <c r="C11" s="10">
        <v>0.0030407415</v>
      </c>
      <c r="D11" s="11">
        <v>0.88211124555</v>
      </c>
      <c r="E11" s="22">
        <f t="shared" si="1"/>
        <v>3.169425451</v>
      </c>
      <c r="F11" s="23">
        <f t="shared" si="2"/>
        <v>0.1980890907</v>
      </c>
    </row>
    <row r="14">
      <c r="A14" s="5" t="s">
        <v>11</v>
      </c>
    </row>
    <row r="15">
      <c r="A15" s="6" t="s">
        <v>6</v>
      </c>
      <c r="B15" s="6" t="s">
        <v>7</v>
      </c>
      <c r="C15" s="6" t="s">
        <v>8</v>
      </c>
      <c r="D15" s="6" t="s">
        <v>9</v>
      </c>
      <c r="E15" s="6" t="s">
        <v>19</v>
      </c>
      <c r="F15" s="6" t="s">
        <v>20</v>
      </c>
    </row>
    <row r="16">
      <c r="A16" s="8">
        <v>1.0</v>
      </c>
      <c r="B16" s="9">
        <v>1000000.0</v>
      </c>
      <c r="C16" s="10">
        <v>0.0258490415</v>
      </c>
      <c r="D16" s="11">
        <v>0.804695487986667</v>
      </c>
      <c r="E16" s="22">
        <f t="shared" ref="E16:E21" si="3">$C$16/C16</f>
        <v>1</v>
      </c>
      <c r="F16" s="23">
        <f t="shared" ref="F16:F21" si="4">E16/A16</f>
        <v>1</v>
      </c>
    </row>
    <row r="17">
      <c r="A17" s="8">
        <v>2.0</v>
      </c>
      <c r="B17" s="9">
        <v>1000000.0</v>
      </c>
      <c r="C17" s="10">
        <v>0.013315491</v>
      </c>
      <c r="D17" s="11">
        <v>0.804569924273333</v>
      </c>
      <c r="E17" s="22">
        <f t="shared" si="3"/>
        <v>1.941275879</v>
      </c>
      <c r="F17" s="23">
        <f t="shared" si="4"/>
        <v>0.9706379397</v>
      </c>
    </row>
    <row r="18">
      <c r="A18" s="8">
        <v>4.0</v>
      </c>
      <c r="B18" s="9">
        <v>1000000.0</v>
      </c>
      <c r="C18" s="10">
        <v>0.007331874</v>
      </c>
      <c r="D18" s="11">
        <v>0.804729615993333</v>
      </c>
      <c r="E18" s="22">
        <f t="shared" si="3"/>
        <v>3.525570884</v>
      </c>
      <c r="F18" s="23">
        <f t="shared" si="4"/>
        <v>0.881392721</v>
      </c>
    </row>
    <row r="19">
      <c r="A19" s="8">
        <v>8.0</v>
      </c>
      <c r="B19" s="9">
        <v>1000000.0</v>
      </c>
      <c r="C19" s="10">
        <v>0.004315265</v>
      </c>
      <c r="D19" s="11">
        <v>0.80465435895</v>
      </c>
      <c r="E19" s="22">
        <f t="shared" si="3"/>
        <v>5.990140003</v>
      </c>
      <c r="F19" s="23">
        <f t="shared" si="4"/>
        <v>0.7487675004</v>
      </c>
    </row>
    <row r="20">
      <c r="A20" s="8">
        <v>12.0</v>
      </c>
      <c r="B20" s="9">
        <v>1000000.0</v>
      </c>
      <c r="C20" s="10">
        <v>0.0037130375</v>
      </c>
      <c r="D20" s="11">
        <v>0.804703664513333</v>
      </c>
      <c r="E20" s="22">
        <f t="shared" si="3"/>
        <v>6.961696859</v>
      </c>
      <c r="F20" s="23">
        <f t="shared" si="4"/>
        <v>0.5801414049</v>
      </c>
    </row>
    <row r="21" ht="15.75" customHeight="1">
      <c r="A21" s="8">
        <v>16.0</v>
      </c>
      <c r="B21" s="9">
        <v>1000000.0</v>
      </c>
      <c r="C21" s="10">
        <v>0.0052498325</v>
      </c>
      <c r="D21" s="11">
        <v>0.804918972283333</v>
      </c>
      <c r="E21" s="22">
        <f t="shared" si="3"/>
        <v>4.923784045</v>
      </c>
      <c r="F21" s="23">
        <f t="shared" si="4"/>
        <v>0.3077365028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4.0"/>
    <col customWidth="1" min="4" max="4" width="17.0"/>
    <col customWidth="1" min="5" max="6" width="12.0"/>
  </cols>
  <sheetData>
    <row r="1">
      <c r="A1" s="1" t="s">
        <v>24</v>
      </c>
    </row>
    <row r="2">
      <c r="A2" s="2"/>
    </row>
    <row r="4">
      <c r="A4" s="5" t="s">
        <v>5</v>
      </c>
    </row>
    <row r="5" ht="31.5" customHeight="1">
      <c r="A5" s="6" t="s">
        <v>6</v>
      </c>
      <c r="B5" s="6" t="s">
        <v>7</v>
      </c>
      <c r="C5" s="6" t="s">
        <v>8</v>
      </c>
      <c r="D5" s="6" t="s">
        <v>9</v>
      </c>
      <c r="E5" s="6" t="s">
        <v>19</v>
      </c>
      <c r="F5" s="6" t="s">
        <v>20</v>
      </c>
    </row>
    <row r="6">
      <c r="A6" s="8">
        <v>1.0</v>
      </c>
      <c r="B6" s="9">
        <v>1.0E7</v>
      </c>
      <c r="C6" s="10">
        <v>0.0978941805</v>
      </c>
      <c r="D6" s="11">
        <v>0.88206025834</v>
      </c>
      <c r="E6" s="22">
        <f t="shared" ref="E6:E11" si="1">$C$6/C6</f>
        <v>1</v>
      </c>
      <c r="F6" s="23">
        <f t="shared" ref="F6:F11" si="2">E6/A6</f>
        <v>1</v>
      </c>
    </row>
    <row r="7">
      <c r="A7" s="8">
        <v>2.0</v>
      </c>
      <c r="B7" s="9">
        <v>1.0E7</v>
      </c>
      <c r="C7" s="10">
        <v>0.0498899485</v>
      </c>
      <c r="D7" s="11">
        <v>0.88215437476</v>
      </c>
      <c r="E7" s="22">
        <f t="shared" si="1"/>
        <v>1.962202477</v>
      </c>
      <c r="F7" s="23">
        <f t="shared" si="2"/>
        <v>0.9811012383</v>
      </c>
    </row>
    <row r="8">
      <c r="A8" s="8">
        <v>4.0</v>
      </c>
      <c r="B8" s="9">
        <v>1.0E7</v>
      </c>
      <c r="C8" s="10">
        <v>0.028194386</v>
      </c>
      <c r="D8" s="11">
        <v>0.8820814184</v>
      </c>
      <c r="E8" s="22">
        <f t="shared" si="1"/>
        <v>3.472116062</v>
      </c>
      <c r="F8" s="23">
        <f t="shared" si="2"/>
        <v>0.8680290156</v>
      </c>
    </row>
    <row r="9">
      <c r="A9" s="8">
        <v>8.0</v>
      </c>
      <c r="B9" s="9">
        <v>1.0E7</v>
      </c>
      <c r="C9" s="10">
        <v>0.01646619</v>
      </c>
      <c r="D9" s="11">
        <v>0.88205613243</v>
      </c>
      <c r="E9" s="22">
        <f t="shared" si="1"/>
        <v>5.945162815</v>
      </c>
      <c r="F9" s="23">
        <f t="shared" si="2"/>
        <v>0.7431453519</v>
      </c>
    </row>
    <row r="10">
      <c r="A10" s="8">
        <v>12.0</v>
      </c>
      <c r="B10" s="9">
        <v>1.0E7</v>
      </c>
      <c r="C10" s="10">
        <v>0.020929311</v>
      </c>
      <c r="D10" s="11">
        <v>0.88213444424</v>
      </c>
      <c r="E10" s="22">
        <f t="shared" si="1"/>
        <v>4.677372346</v>
      </c>
      <c r="F10" s="23">
        <f t="shared" si="2"/>
        <v>0.3897810289</v>
      </c>
    </row>
    <row r="11">
      <c r="A11" s="8">
        <v>16.0</v>
      </c>
      <c r="B11" s="9">
        <v>1.0E7</v>
      </c>
      <c r="C11" s="10">
        <v>0.0236251425</v>
      </c>
      <c r="D11" s="11">
        <v>0.882104558933333</v>
      </c>
      <c r="E11" s="22">
        <f t="shared" si="1"/>
        <v>4.143644022</v>
      </c>
      <c r="F11" s="23">
        <f t="shared" si="2"/>
        <v>0.2589777514</v>
      </c>
    </row>
    <row r="14">
      <c r="A14" s="5" t="s">
        <v>11</v>
      </c>
    </row>
    <row r="15">
      <c r="A15" s="6" t="s">
        <v>6</v>
      </c>
      <c r="B15" s="6" t="s">
        <v>7</v>
      </c>
      <c r="C15" s="6" t="s">
        <v>8</v>
      </c>
      <c r="D15" s="6" t="s">
        <v>9</v>
      </c>
      <c r="E15" s="6" t="s">
        <v>19</v>
      </c>
      <c r="F15" s="6" t="s">
        <v>20</v>
      </c>
    </row>
    <row r="16">
      <c r="A16" s="8">
        <v>1.0</v>
      </c>
      <c r="B16" s="9">
        <v>1.0E7</v>
      </c>
      <c r="C16" s="10">
        <v>0.2617349895</v>
      </c>
      <c r="D16" s="11">
        <v>0.804875167103333</v>
      </c>
      <c r="E16" s="22">
        <f t="shared" ref="E16:E21" si="3">$C$16/C16</f>
        <v>1</v>
      </c>
      <c r="F16" s="23">
        <f t="shared" ref="F16:F21" si="4">E16/A16</f>
        <v>1</v>
      </c>
    </row>
    <row r="17">
      <c r="A17" s="8">
        <v>2.0</v>
      </c>
      <c r="B17" s="9">
        <v>1.0E7</v>
      </c>
      <c r="C17" s="10">
        <v>0.1340482975</v>
      </c>
      <c r="D17" s="11">
        <v>0.804735763863333</v>
      </c>
      <c r="E17" s="22">
        <f t="shared" si="3"/>
        <v>1.952542437</v>
      </c>
      <c r="F17" s="23">
        <f t="shared" si="4"/>
        <v>0.9762712186</v>
      </c>
    </row>
    <row r="18">
      <c r="A18" s="8">
        <v>4.0</v>
      </c>
      <c r="B18" s="9">
        <v>1.0E7</v>
      </c>
      <c r="C18" s="10">
        <v>0.0736173885</v>
      </c>
      <c r="D18" s="11">
        <v>0.80478141903</v>
      </c>
      <c r="E18" s="22">
        <f t="shared" si="3"/>
        <v>3.555341949</v>
      </c>
      <c r="F18" s="23">
        <f t="shared" si="4"/>
        <v>0.8888354872</v>
      </c>
    </row>
    <row r="19">
      <c r="A19" s="8">
        <v>8.0</v>
      </c>
      <c r="B19" s="9">
        <v>1.0E7</v>
      </c>
      <c r="C19" s="10">
        <v>0.041627497</v>
      </c>
      <c r="D19" s="11">
        <v>0.804805566476667</v>
      </c>
      <c r="E19" s="22">
        <f t="shared" si="3"/>
        <v>6.287550498</v>
      </c>
      <c r="F19" s="23">
        <f t="shared" si="4"/>
        <v>0.7859438123</v>
      </c>
    </row>
    <row r="20">
      <c r="A20" s="8">
        <v>12.0</v>
      </c>
      <c r="B20" s="9">
        <v>1.0E7</v>
      </c>
      <c r="C20" s="10">
        <v>0.0373310245</v>
      </c>
      <c r="D20" s="11">
        <v>0.80472195423</v>
      </c>
      <c r="E20" s="22">
        <f t="shared" si="3"/>
        <v>7.011192246</v>
      </c>
      <c r="F20" s="23">
        <f t="shared" si="4"/>
        <v>0.5842660205</v>
      </c>
    </row>
    <row r="21" ht="15.75" customHeight="1">
      <c r="A21" s="8">
        <v>16.0</v>
      </c>
      <c r="B21" s="9">
        <v>1.0E7</v>
      </c>
      <c r="C21" s="10">
        <v>0.0343642775</v>
      </c>
      <c r="D21" s="11">
        <v>0.80480569369</v>
      </c>
      <c r="E21" s="22">
        <f t="shared" si="3"/>
        <v>7.616484575</v>
      </c>
      <c r="F21" s="23">
        <f t="shared" si="4"/>
        <v>0.4760302859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4.0"/>
    <col customWidth="1" min="4" max="4" width="17.0"/>
    <col customWidth="1" min="5" max="6" width="12.0"/>
  </cols>
  <sheetData>
    <row r="1">
      <c r="A1" s="1" t="s">
        <v>25</v>
      </c>
    </row>
    <row r="2">
      <c r="A2" s="2"/>
    </row>
    <row r="4">
      <c r="A4" s="5" t="s">
        <v>5</v>
      </c>
    </row>
    <row r="5" ht="31.5" customHeight="1">
      <c r="A5" s="6" t="s">
        <v>6</v>
      </c>
      <c r="B5" s="6" t="s">
        <v>7</v>
      </c>
      <c r="C5" s="6" t="s">
        <v>8</v>
      </c>
      <c r="D5" s="6" t="s">
        <v>9</v>
      </c>
      <c r="E5" s="6" t="s">
        <v>19</v>
      </c>
      <c r="F5" s="6" t="s">
        <v>20</v>
      </c>
    </row>
    <row r="6">
      <c r="A6" s="8">
        <v>1.0</v>
      </c>
      <c r="B6" s="9">
        <v>1.0E8</v>
      </c>
      <c r="C6" s="10">
        <v>1.006344502</v>
      </c>
      <c r="D6" s="11">
        <v>0.882059219493333</v>
      </c>
      <c r="E6" s="22">
        <f t="shared" ref="E6:E11" si="1">$C$6/C6</f>
        <v>1</v>
      </c>
      <c r="F6" s="23">
        <f t="shared" ref="F6:F11" si="2">E6/A6</f>
        <v>1</v>
      </c>
    </row>
    <row r="7">
      <c r="A7" s="8">
        <v>2.0</v>
      </c>
      <c r="B7" s="9">
        <v>1.0E8</v>
      </c>
      <c r="C7" s="10">
        <v>0.5211327695</v>
      </c>
      <c r="D7" s="11">
        <v>0.882090329793333</v>
      </c>
      <c r="E7" s="22">
        <f t="shared" si="1"/>
        <v>1.931071237</v>
      </c>
      <c r="F7" s="23">
        <f t="shared" si="2"/>
        <v>0.9655356187</v>
      </c>
    </row>
    <row r="8">
      <c r="A8" s="8">
        <v>4.0</v>
      </c>
      <c r="B8" s="9">
        <v>1.0E8</v>
      </c>
      <c r="C8" s="10">
        <v>0.292391606</v>
      </c>
      <c r="D8" s="11">
        <v>0.882078730833333</v>
      </c>
      <c r="E8" s="22">
        <f t="shared" si="1"/>
        <v>3.441769467</v>
      </c>
      <c r="F8" s="23">
        <f t="shared" si="2"/>
        <v>0.8604423668</v>
      </c>
    </row>
    <row r="9">
      <c r="A9" s="8">
        <v>8.0</v>
      </c>
      <c r="B9" s="9">
        <v>1.0E8</v>
      </c>
      <c r="C9" s="10">
        <v>0.1644387265</v>
      </c>
      <c r="D9" s="11">
        <v>0.882093696036667</v>
      </c>
      <c r="E9" s="22">
        <f t="shared" si="1"/>
        <v>6.119875308</v>
      </c>
      <c r="F9" s="23">
        <f t="shared" si="2"/>
        <v>0.7649844135</v>
      </c>
    </row>
    <row r="10">
      <c r="A10" s="8">
        <v>12.0</v>
      </c>
      <c r="B10" s="9">
        <v>1.0E8</v>
      </c>
      <c r="C10" s="10">
        <v>0.2058088105</v>
      </c>
      <c r="D10" s="11">
        <v>0.88210706805</v>
      </c>
      <c r="E10" s="22">
        <f t="shared" si="1"/>
        <v>4.889705643</v>
      </c>
      <c r="F10" s="23">
        <f t="shared" si="2"/>
        <v>0.4074754702</v>
      </c>
    </row>
    <row r="11">
      <c r="A11" s="8">
        <v>16.0</v>
      </c>
      <c r="B11" s="9">
        <v>1.0E8</v>
      </c>
      <c r="C11" s="10">
        <v>0.1975884435</v>
      </c>
      <c r="D11" s="11">
        <v>0.882082370763333</v>
      </c>
      <c r="E11" s="22">
        <f t="shared" si="1"/>
        <v>5.093134417</v>
      </c>
      <c r="F11" s="23">
        <f t="shared" si="2"/>
        <v>0.3183209011</v>
      </c>
    </row>
    <row r="14">
      <c r="A14" s="5" t="s">
        <v>11</v>
      </c>
    </row>
    <row r="15">
      <c r="A15" s="6" t="s">
        <v>6</v>
      </c>
      <c r="B15" s="6" t="s">
        <v>7</v>
      </c>
      <c r="C15" s="6" t="s">
        <v>8</v>
      </c>
      <c r="D15" s="6" t="s">
        <v>9</v>
      </c>
      <c r="E15" s="6" t="s">
        <v>19</v>
      </c>
      <c r="F15" s="6" t="s">
        <v>20</v>
      </c>
    </row>
    <row r="16">
      <c r="A16" s="8">
        <v>1.0</v>
      </c>
      <c r="B16" s="9">
        <v>1.0E8</v>
      </c>
      <c r="C16" s="10">
        <v>2.6171326915</v>
      </c>
      <c r="D16" s="11">
        <v>0.80479307173</v>
      </c>
      <c r="E16" s="22">
        <f t="shared" ref="E16:E21" si="3">$C$16/C16</f>
        <v>1</v>
      </c>
      <c r="F16" s="23">
        <f t="shared" ref="F16:F21" si="4">E16/A16</f>
        <v>1</v>
      </c>
    </row>
    <row r="17">
      <c r="A17" s="8">
        <v>2.0</v>
      </c>
      <c r="B17" s="9">
        <v>1.0E8</v>
      </c>
      <c r="C17" s="10">
        <v>1.361864202</v>
      </c>
      <c r="D17" s="11">
        <v>0.804804988333334</v>
      </c>
      <c r="E17" s="22">
        <f t="shared" si="3"/>
        <v>1.92172809</v>
      </c>
      <c r="F17" s="23">
        <f t="shared" si="4"/>
        <v>0.9608640449</v>
      </c>
    </row>
    <row r="18">
      <c r="A18" s="8">
        <v>4.0</v>
      </c>
      <c r="B18" s="9">
        <v>1.0E8</v>
      </c>
      <c r="C18" s="10">
        <v>0.7548879365</v>
      </c>
      <c r="D18" s="11">
        <v>0.804778506566667</v>
      </c>
      <c r="E18" s="22">
        <f t="shared" si="3"/>
        <v>3.466915505</v>
      </c>
      <c r="F18" s="23">
        <f t="shared" si="4"/>
        <v>0.8667288762</v>
      </c>
    </row>
    <row r="19">
      <c r="A19" s="8">
        <v>8.0</v>
      </c>
      <c r="B19" s="9">
        <v>1.0E8</v>
      </c>
      <c r="C19" s="10">
        <v>0.4278931525</v>
      </c>
      <c r="D19" s="11">
        <v>0.804765672176667</v>
      </c>
      <c r="E19" s="22">
        <f t="shared" si="3"/>
        <v>6.11632291</v>
      </c>
      <c r="F19" s="23">
        <f t="shared" si="4"/>
        <v>0.7645403637</v>
      </c>
    </row>
    <row r="20">
      <c r="A20" s="8">
        <v>12.0</v>
      </c>
      <c r="B20" s="9">
        <v>1.0E8</v>
      </c>
      <c r="C20" s="10">
        <v>0.3862811005</v>
      </c>
      <c r="D20" s="11">
        <v>0.804767244973333</v>
      </c>
      <c r="E20" s="22">
        <f t="shared" si="3"/>
        <v>6.775202535</v>
      </c>
      <c r="F20" s="23">
        <f t="shared" si="4"/>
        <v>0.5646002113</v>
      </c>
    </row>
    <row r="21" ht="15.75" customHeight="1">
      <c r="A21" s="8">
        <v>16.0</v>
      </c>
      <c r="B21" s="9">
        <v>1.0E8</v>
      </c>
      <c r="C21" s="10">
        <v>0.3407978175</v>
      </c>
      <c r="D21" s="11">
        <v>0.804779385693333</v>
      </c>
      <c r="E21" s="22">
        <f t="shared" si="3"/>
        <v>7.679429143</v>
      </c>
      <c r="F21" s="23">
        <f t="shared" si="4"/>
        <v>0.4799643214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4.0"/>
    <col customWidth="1" min="4" max="4" width="17.0"/>
    <col customWidth="1" min="5" max="6" width="12.0"/>
  </cols>
  <sheetData>
    <row r="1">
      <c r="A1" s="1" t="s">
        <v>26</v>
      </c>
    </row>
    <row r="2">
      <c r="A2" s="2"/>
    </row>
    <row r="4">
      <c r="A4" s="5" t="s">
        <v>5</v>
      </c>
    </row>
    <row r="5" ht="31.5" customHeight="1">
      <c r="A5" s="6" t="s">
        <v>6</v>
      </c>
      <c r="B5" s="6" t="s">
        <v>7</v>
      </c>
      <c r="C5" s="6" t="s">
        <v>8</v>
      </c>
      <c r="D5" s="6" t="s">
        <v>9</v>
      </c>
      <c r="E5" s="6" t="s">
        <v>19</v>
      </c>
      <c r="F5" s="6" t="s">
        <v>20</v>
      </c>
    </row>
    <row r="6">
      <c r="A6" s="8">
        <v>1.0</v>
      </c>
      <c r="B6" s="9">
        <v>1.0E9</v>
      </c>
      <c r="C6" s="10">
        <v>10.1722982705</v>
      </c>
      <c r="D6" s="11">
        <v>0.882082398476667</v>
      </c>
      <c r="E6" s="22">
        <f t="shared" ref="E6:E11" si="1">$C$6/C6</f>
        <v>1</v>
      </c>
      <c r="F6" s="23">
        <f t="shared" ref="F6:F11" si="2">E6/A6</f>
        <v>1</v>
      </c>
    </row>
    <row r="7">
      <c r="A7" s="8">
        <v>2.0</v>
      </c>
      <c r="B7" s="9">
        <v>1.0E9</v>
      </c>
      <c r="C7" s="10">
        <v>5.319886576</v>
      </c>
      <c r="D7" s="11">
        <v>0.88207933655</v>
      </c>
      <c r="E7" s="22">
        <f t="shared" si="1"/>
        <v>1.912126908</v>
      </c>
      <c r="F7" s="23">
        <f t="shared" si="2"/>
        <v>0.9560634541</v>
      </c>
    </row>
    <row r="8">
      <c r="A8" s="8">
        <v>4.0</v>
      </c>
      <c r="B8" s="9">
        <v>1.0E9</v>
      </c>
      <c r="C8" s="10">
        <v>3.0209700735</v>
      </c>
      <c r="D8" s="11">
        <v>0.882074173506667</v>
      </c>
      <c r="E8" s="22">
        <f t="shared" si="1"/>
        <v>3.367229076</v>
      </c>
      <c r="F8" s="23">
        <f t="shared" si="2"/>
        <v>0.8418072691</v>
      </c>
    </row>
    <row r="9">
      <c r="A9" s="8">
        <v>8.0</v>
      </c>
      <c r="B9" s="9">
        <v>1.0E9</v>
      </c>
      <c r="C9" s="10">
        <v>1.7449357395</v>
      </c>
      <c r="D9" s="11">
        <v>0.882086618653333</v>
      </c>
      <c r="E9" s="22">
        <f t="shared" si="1"/>
        <v>5.829611968</v>
      </c>
      <c r="F9" s="23">
        <f t="shared" si="2"/>
        <v>0.728701496</v>
      </c>
    </row>
    <row r="10">
      <c r="A10" s="8">
        <v>12.0</v>
      </c>
      <c r="B10" s="9">
        <v>1.0E9</v>
      </c>
      <c r="C10" s="10">
        <v>2.284145098</v>
      </c>
      <c r="D10" s="11">
        <v>0.88207867014</v>
      </c>
      <c r="E10" s="22">
        <f t="shared" si="1"/>
        <v>4.453437866</v>
      </c>
      <c r="F10" s="23">
        <f t="shared" si="2"/>
        <v>0.3711198222</v>
      </c>
    </row>
    <row r="11">
      <c r="A11" s="8">
        <v>16.0</v>
      </c>
      <c r="B11" s="9">
        <v>1.0E9</v>
      </c>
      <c r="C11" s="10">
        <v>1.926481137</v>
      </c>
      <c r="D11" s="11">
        <v>0.882086358076667</v>
      </c>
      <c r="E11" s="22">
        <f t="shared" si="1"/>
        <v>5.280248052</v>
      </c>
      <c r="F11" s="23">
        <f t="shared" si="2"/>
        <v>0.3300155032</v>
      </c>
    </row>
    <row r="14">
      <c r="A14" s="5" t="s">
        <v>11</v>
      </c>
    </row>
    <row r="15">
      <c r="A15" s="6" t="s">
        <v>6</v>
      </c>
      <c r="B15" s="6" t="s">
        <v>7</v>
      </c>
      <c r="C15" s="6" t="s">
        <v>8</v>
      </c>
      <c r="D15" s="6" t="s">
        <v>9</v>
      </c>
      <c r="E15" s="6" t="s">
        <v>19</v>
      </c>
      <c r="F15" s="6" t="s">
        <v>20</v>
      </c>
    </row>
    <row r="16">
      <c r="A16" s="8">
        <v>1.0</v>
      </c>
      <c r="B16" s="9">
        <v>1.0E9</v>
      </c>
      <c r="C16" s="10">
        <v>26.230971862</v>
      </c>
      <c r="D16" s="11">
        <v>0.80478484599</v>
      </c>
      <c r="E16" s="22">
        <f t="shared" ref="E16:E21" si="3">$C$16/C16</f>
        <v>1</v>
      </c>
      <c r="F16" s="23">
        <f t="shared" ref="F16:F21" si="4">E16/A16</f>
        <v>1</v>
      </c>
    </row>
    <row r="17">
      <c r="A17" s="8">
        <v>2.0</v>
      </c>
      <c r="B17" s="9">
        <v>1.0E9</v>
      </c>
      <c r="C17" s="10">
        <v>13.703932071</v>
      </c>
      <c r="D17" s="11">
        <v>0.804773802626667</v>
      </c>
      <c r="E17" s="22">
        <f t="shared" si="3"/>
        <v>1.914120103</v>
      </c>
      <c r="F17" s="23">
        <f t="shared" si="4"/>
        <v>0.9570600513</v>
      </c>
    </row>
    <row r="18">
      <c r="A18" s="8">
        <v>4.0</v>
      </c>
      <c r="B18" s="9">
        <v>1.0E9</v>
      </c>
      <c r="C18" s="10">
        <v>7.6453305675</v>
      </c>
      <c r="D18" s="11">
        <v>0.804778152526667</v>
      </c>
      <c r="E18" s="22">
        <f t="shared" si="3"/>
        <v>3.430979423</v>
      </c>
      <c r="F18" s="23">
        <f t="shared" si="4"/>
        <v>0.8577448558</v>
      </c>
    </row>
    <row r="19">
      <c r="A19" s="8">
        <v>8.0</v>
      </c>
      <c r="B19" s="9">
        <v>1.0E9</v>
      </c>
      <c r="C19" s="10">
        <v>4.346741741</v>
      </c>
      <c r="D19" s="11">
        <v>0.804778519513333</v>
      </c>
      <c r="E19" s="22">
        <f t="shared" si="3"/>
        <v>6.034628562</v>
      </c>
      <c r="F19" s="23">
        <f t="shared" si="4"/>
        <v>0.7543285703</v>
      </c>
    </row>
    <row r="20">
      <c r="A20" s="8">
        <v>12.0</v>
      </c>
      <c r="B20" s="9">
        <v>1.0E9</v>
      </c>
      <c r="C20" s="10">
        <v>4.1331954655</v>
      </c>
      <c r="D20" s="11">
        <v>0.804770783946667</v>
      </c>
      <c r="E20" s="22">
        <f t="shared" si="3"/>
        <v>6.346414555</v>
      </c>
      <c r="F20" s="23">
        <f t="shared" si="4"/>
        <v>0.5288678796</v>
      </c>
    </row>
    <row r="21" ht="15.75" customHeight="1">
      <c r="A21" s="8">
        <v>16.0</v>
      </c>
      <c r="B21" s="9">
        <v>1.0E9</v>
      </c>
      <c r="C21" s="10">
        <v>3.4294838255</v>
      </c>
      <c r="D21" s="11">
        <v>0.80477712385</v>
      </c>
      <c r="E21" s="22">
        <f t="shared" si="3"/>
        <v>7.648664696</v>
      </c>
      <c r="F21" s="23">
        <f t="shared" si="4"/>
        <v>0.4780415435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