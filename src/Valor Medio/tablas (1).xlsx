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=1" sheetId="1" r:id="rId5"/>
    <sheet state="visible" name="P=2" sheetId="2" r:id="rId6"/>
    <sheet state="visible" name="P=4" sheetId="3" r:id="rId7"/>
    <sheet state="visible" name="P=8" sheetId="4" r:id="rId8"/>
    <sheet state="visible" name="P=12" sheetId="5" r:id="rId9"/>
    <sheet state="visible" name="P=16" sheetId="6" r:id="rId10"/>
    <sheet state="visible" name="N=1e3" sheetId="7" r:id="rId11"/>
    <sheet state="visible" name="N=1e4" sheetId="8" r:id="rId12"/>
    <sheet state="visible" name="N=1e5" sheetId="9" r:id="rId13"/>
    <sheet state="visible" name="N=1e6" sheetId="10" r:id="rId14"/>
    <sheet state="visible" name="N=1e7" sheetId="11" r:id="rId15"/>
    <sheet state="visible" name="N=1e8" sheetId="12" r:id="rId16"/>
    <sheet state="visible" name="N=1e9" sheetId="13" r:id="rId17"/>
  </sheets>
  <definedNames/>
  <calcPr/>
</workbook>
</file>

<file path=xl/sharedStrings.xml><?xml version="1.0" encoding="utf-8"?>
<sst xmlns="http://schemas.openxmlformats.org/spreadsheetml/2006/main" count="207" uniqueCount="26">
  <si>
    <t>Resultados con P = 1 proceso</t>
  </si>
  <si>
    <t>Valor exacto de ∫₀² exp(−x²)dx</t>
  </si>
  <si>
    <t>(√π/2)·erf(2), valor de referencia teórico</t>
  </si>
  <si>
    <t>Valor exacto de ∫₀² sin(x²)dx</t>
  </si>
  <si>
    <t>Integral de Fresnel, valor de referencia teórico</t>
  </si>
  <si>
    <t>Función exp(−x²) en [0, 2]</t>
  </si>
  <si>
    <t>Procesos</t>
  </si>
  <si>
    <t>N (simulaciones)</t>
  </si>
  <si>
    <t>Tiempo de ejecución (s)</t>
  </si>
  <si>
    <t>Aproximación</t>
  </si>
  <si>
    <t>Error relativo (%)</t>
  </si>
  <si>
    <t>Función sin(x²) en [0, 2]</t>
  </si>
  <si>
    <t>Resultados con P = 2 procesos</t>
  </si>
  <si>
    <t>Resultados con P = 4 procesos</t>
  </si>
  <si>
    <t>Resultados con P = 8 procesos</t>
  </si>
  <si>
    <t>Resultados con P = 12 procesos</t>
  </si>
  <si>
    <t>Resultados con P = 16 procesos</t>
  </si>
  <si>
    <t>Resultados con N = 1.000 simulaciones</t>
  </si>
  <si>
    <t>Speedup</t>
  </si>
  <si>
    <t>Eficiencia</t>
  </si>
  <si>
    <t>Resultados con N = 10.000 simulaciones</t>
  </si>
  <si>
    <t>Resultados con N = 100.000 simulaciones</t>
  </si>
  <si>
    <t>Resultados con N = 1.000.000 simulaciones</t>
  </si>
  <si>
    <t>Resultados con N = 10.000.000 simulaciones</t>
  </si>
  <si>
    <t>Resultados con N = 100.000.000 simulaciones</t>
  </si>
  <si>
    <t>Resultados con N = 1.000.000.000 simulaciones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</si>
</sst>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0000000"/>
    <numFmt numFmtId="165" formatCode="0.000000000"/>
    <numFmt numFmtId="166" formatCode="0.000000"/>
    <numFmt numFmtId="167" formatCode="0.000"/>
  </numFmts>
  <fonts count="7">
    <font>
      <sz val="11.0"/>
      <color theme="1"/>
      <name val="Calibri"/>
      <scheme val="minor"/>
    </font>
    <font>
      <b/>
      <sz val="13.0"/>
      <color theme="1"/>
      <name val="Arial"/>
    </font>
    <font>
      <i/>
      <sz val="9.0"/>
      <color rgb="FF555555"/>
      <name val="Arial"/>
    </font>
    <font>
      <sz val="10.0"/>
      <color theme="1"/>
      <name val="Arial"/>
    </font>
    <font>
      <sz val="10.0"/>
      <color rgb="FF0000FF"/>
      <name val="Arial"/>
    </font>
    <font>
      <b/>
      <sz val="10.0"/>
      <color theme="1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</fills>
  <borders count="2">
    <border/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164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1" fillId="0" fontId="6" numFmtId="1" xfId="0" applyAlignment="1" applyBorder="1" applyFont="1" applyNumberFormat="1">
      <alignment shrinkToFit="0" vertical="bottom" wrapText="0"/>
    </xf>
    <xf borderId="1" fillId="0" fontId="6" numFmtId="3" xfId="0" applyAlignment="1" applyBorder="1" applyFont="1" applyNumberFormat="1">
      <alignment shrinkToFit="0" vertical="bottom" wrapText="0"/>
    </xf>
    <xf borderId="1" fillId="0" fontId="6" numFmtId="165" xfId="0" applyAlignment="1" applyBorder="1" applyFont="1" applyNumberFormat="1">
      <alignment shrinkToFit="0" vertical="bottom" wrapText="0"/>
    </xf>
    <xf borderId="1" fillId="0" fontId="6" numFmtId="164" xfId="0" applyAlignment="1" applyBorder="1" applyFont="1" applyNumberFormat="1">
      <alignment shrinkToFit="0" vertical="bottom" wrapText="0"/>
    </xf>
    <xf borderId="1" fillId="0" fontId="6" numFmtId="166" xfId="0" applyAlignment="1" applyBorder="1" applyFont="1" applyNumberFormat="1">
      <alignment shrinkToFit="0" vertical="bottom" wrapText="0"/>
    </xf>
    <xf borderId="1" fillId="0" fontId="6" numFmtId="2" xfId="0" applyAlignment="1" applyBorder="1" applyFont="1" applyNumberFormat="1">
      <alignment shrinkToFit="0" vertical="bottom" wrapText="0"/>
    </xf>
    <xf borderId="1" fillId="0" fontId="6" numFmtId="167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4.0"/>
    <col customWidth="1" min="4" max="4" width="17.0"/>
    <col customWidth="1" min="5" max="5" width="18.0"/>
    <col customWidth="1" min="6" max="6" width="3.0"/>
    <col customWidth="1" min="7" max="8" width="20.0"/>
    <col customWidth="1" min="9" max="9" width="24.0"/>
    <col customWidth="1" min="10" max="10" width="28.0"/>
    <col customWidth="1" min="11" max="26" width="8.71"/>
  </cols>
  <sheetData>
    <row r="1">
      <c r="A1" s="1" t="s">
        <v>0</v>
      </c>
    </row>
    <row r="2">
      <c r="A2" s="2"/>
    </row>
    <row r="4">
      <c r="A4" s="3" t="s">
        <v>1</v>
      </c>
      <c r="D4" s="4">
        <v>0.882081390762422</v>
      </c>
      <c r="E4" s="2" t="s">
        <v>2</v>
      </c>
    </row>
    <row r="5">
      <c r="A5" s="3" t="s">
        <v>3</v>
      </c>
      <c r="D5" s="4">
        <v>0.804776489343756</v>
      </c>
      <c r="E5" s="2" t="s">
        <v>4</v>
      </c>
    </row>
    <row r="7">
      <c r="A7" s="5" t="s">
        <v>5</v>
      </c>
      <c r="G7" s="5"/>
    </row>
    <row r="8" ht="31.5" customHeight="1">
      <c r="A8" s="6" t="s">
        <v>6</v>
      </c>
      <c r="B8" s="6" t="s">
        <v>7</v>
      </c>
      <c r="C8" s="6" t="s">
        <v>8</v>
      </c>
      <c r="D8" s="6" t="s">
        <v>9</v>
      </c>
      <c r="E8" s="6" t="s">
        <v>10</v>
      </c>
      <c r="G8" s="7"/>
      <c r="H8" s="7"/>
      <c r="I8" s="7"/>
      <c r="J8" s="7"/>
    </row>
    <row r="9">
      <c r="A9" s="8">
        <v>1.0</v>
      </c>
      <c r="B9" s="9">
        <v>1000.0</v>
      </c>
      <c r="C9" s="10">
        <v>9.753E-6</v>
      </c>
      <c r="D9" s="11">
        <v>0.89250459743</v>
      </c>
      <c r="E9" s="12">
        <f t="shared" ref="E9:E15" si="1">ABS(D9-$D$4)/$D$4*100</f>
        <v>1.18166042</v>
      </c>
      <c r="G9" s="10"/>
      <c r="H9" s="10"/>
      <c r="I9" s="8"/>
      <c r="J9" s="12"/>
    </row>
    <row r="10">
      <c r="A10" s="8">
        <v>1.0</v>
      </c>
      <c r="B10" s="9">
        <v>10000.0</v>
      </c>
      <c r="C10" s="10">
        <v>9.5374E-5</v>
      </c>
      <c r="D10" s="11">
        <v>0.88450553738</v>
      </c>
      <c r="E10" s="12">
        <f t="shared" si="1"/>
        <v>0.2748211948</v>
      </c>
      <c r="G10" s="10"/>
      <c r="H10" s="10"/>
      <c r="I10" s="8"/>
      <c r="J10" s="12"/>
    </row>
    <row r="11">
      <c r="A11" s="8">
        <v>1.0</v>
      </c>
      <c r="B11" s="9">
        <v>100000.0</v>
      </c>
      <c r="C11" s="10">
        <v>9.960815E-4</v>
      </c>
      <c r="D11" s="11">
        <v>0.882277645996667</v>
      </c>
      <c r="E11" s="12">
        <f t="shared" si="1"/>
        <v>0.0222491072</v>
      </c>
      <c r="G11" s="10"/>
      <c r="H11" s="10"/>
      <c r="I11" s="8"/>
      <c r="J11" s="12"/>
    </row>
    <row r="12">
      <c r="A12" s="8">
        <v>1.0</v>
      </c>
      <c r="B12" s="9">
        <v>1000000.0</v>
      </c>
      <c r="C12" s="10">
        <v>0.0096374035</v>
      </c>
      <c r="D12" s="11">
        <v>0.882255786706667</v>
      </c>
      <c r="E12" s="12">
        <f t="shared" si="1"/>
        <v>0.01977095833</v>
      </c>
      <c r="G12" s="10"/>
      <c r="H12" s="10"/>
      <c r="I12" s="8"/>
      <c r="J12" s="12"/>
    </row>
    <row r="13">
      <c r="A13" s="8">
        <v>1.0</v>
      </c>
      <c r="B13" s="9">
        <v>1.0E7</v>
      </c>
      <c r="C13" s="10">
        <v>0.0978941805</v>
      </c>
      <c r="D13" s="11">
        <v>0.88206025834</v>
      </c>
      <c r="E13" s="12">
        <f t="shared" si="1"/>
        <v>0.002395745182</v>
      </c>
      <c r="G13" s="10"/>
      <c r="H13" s="10"/>
      <c r="I13" s="8"/>
      <c r="J13" s="12"/>
    </row>
    <row r="14">
      <c r="A14" s="8">
        <v>1.0</v>
      </c>
      <c r="B14" s="9">
        <v>1.0E8</v>
      </c>
      <c r="C14" s="10">
        <v>1.006344502</v>
      </c>
      <c r="D14" s="11">
        <v>0.882059219493333</v>
      </c>
      <c r="E14" s="12">
        <f t="shared" si="1"/>
        <v>0.002513517383</v>
      </c>
      <c r="G14" s="10"/>
      <c r="H14" s="10"/>
      <c r="I14" s="8"/>
      <c r="J14" s="12"/>
    </row>
    <row r="15">
      <c r="A15" s="8">
        <v>1.0</v>
      </c>
      <c r="B15" s="9">
        <v>1.0E9</v>
      </c>
      <c r="C15" s="10">
        <v>10.1722982705</v>
      </c>
      <c r="D15" s="11">
        <v>0.882082398476667</v>
      </c>
      <c r="E15" s="12">
        <f t="shared" si="1"/>
        <v>0.0001142427735</v>
      </c>
      <c r="G15" s="10"/>
      <c r="H15" s="10"/>
      <c r="I15" s="8"/>
      <c r="J15" s="12"/>
    </row>
    <row r="18">
      <c r="A18" s="5" t="s">
        <v>11</v>
      </c>
      <c r="G18" s="5"/>
    </row>
    <row r="19" ht="31.5" customHeight="1">
      <c r="A19" s="6" t="s">
        <v>6</v>
      </c>
      <c r="B19" s="6" t="s">
        <v>7</v>
      </c>
      <c r="C19" s="6" t="s">
        <v>8</v>
      </c>
      <c r="D19" s="6" t="s">
        <v>9</v>
      </c>
      <c r="E19" s="6" t="s">
        <v>10</v>
      </c>
      <c r="G19" s="7"/>
      <c r="H19" s="7"/>
      <c r="I19" s="7"/>
      <c r="J19" s="7"/>
    </row>
    <row r="20">
      <c r="A20" s="8">
        <v>1.0</v>
      </c>
      <c r="B20" s="9">
        <v>1000.0</v>
      </c>
      <c r="C20" s="10">
        <v>2.97905E-5</v>
      </c>
      <c r="D20" s="11">
        <v>0.810458983516667</v>
      </c>
      <c r="E20" s="12">
        <f t="shared" ref="E20:E26" si="2">ABS(D20-$D$5)/$D$5*100</f>
        <v>0.7060959469</v>
      </c>
      <c r="G20" s="10"/>
      <c r="H20" s="10"/>
      <c r="I20" s="8"/>
      <c r="J20" s="12"/>
    </row>
    <row r="21" ht="15.75" customHeight="1">
      <c r="A21" s="8">
        <v>1.0</v>
      </c>
      <c r="B21" s="9">
        <v>10000.0</v>
      </c>
      <c r="C21" s="10">
        <v>2.52448E-4</v>
      </c>
      <c r="D21" s="11">
        <v>0.806630657896667</v>
      </c>
      <c r="E21" s="12">
        <f t="shared" si="2"/>
        <v>0.2303954672</v>
      </c>
      <c r="G21" s="10"/>
      <c r="H21" s="10"/>
      <c r="I21" s="8"/>
      <c r="J21" s="12"/>
    </row>
    <row r="22" ht="15.75" customHeight="1">
      <c r="A22" s="8">
        <v>1.0</v>
      </c>
      <c r="B22" s="9">
        <v>100000.0</v>
      </c>
      <c r="C22" s="10">
        <v>0.0026000215</v>
      </c>
      <c r="D22" s="11">
        <v>0.805037256213333</v>
      </c>
      <c r="E22" s="12">
        <f t="shared" si="2"/>
        <v>0.03240239657</v>
      </c>
      <c r="G22" s="10"/>
      <c r="H22" s="10"/>
      <c r="I22" s="8"/>
      <c r="J22" s="12"/>
    </row>
    <row r="23" ht="15.75" customHeight="1">
      <c r="A23" s="8">
        <v>1.0</v>
      </c>
      <c r="B23" s="9">
        <v>1000000.0</v>
      </c>
      <c r="C23" s="10">
        <v>0.0258490415</v>
      </c>
      <c r="D23" s="11">
        <v>0.804695487986667</v>
      </c>
      <c r="E23" s="12">
        <f t="shared" si="2"/>
        <v>0.01006507498</v>
      </c>
      <c r="G23" s="10"/>
      <c r="H23" s="10"/>
      <c r="I23" s="8"/>
      <c r="J23" s="12"/>
    </row>
    <row r="24" ht="15.75" customHeight="1">
      <c r="A24" s="8">
        <v>1.0</v>
      </c>
      <c r="B24" s="9">
        <v>1.0E7</v>
      </c>
      <c r="C24" s="10">
        <v>0.2617349895</v>
      </c>
      <c r="D24" s="11">
        <v>0.804875167103333</v>
      </c>
      <c r="E24" s="12">
        <f t="shared" si="2"/>
        <v>0.01226151122</v>
      </c>
      <c r="G24" s="10"/>
      <c r="H24" s="10"/>
      <c r="I24" s="8"/>
      <c r="J24" s="12"/>
    </row>
    <row r="25" ht="15.75" customHeight="1">
      <c r="A25" s="8">
        <v>1.0</v>
      </c>
      <c r="B25" s="9">
        <v>1.0E8</v>
      </c>
      <c r="C25" s="10">
        <v>2.6171326915</v>
      </c>
      <c r="D25" s="11">
        <v>0.80479307173</v>
      </c>
      <c r="E25" s="12">
        <f t="shared" si="2"/>
        <v>0.00206049586</v>
      </c>
      <c r="G25" s="10"/>
      <c r="H25" s="10"/>
      <c r="I25" s="8"/>
      <c r="J25" s="12"/>
    </row>
    <row r="26" ht="15.75" customHeight="1">
      <c r="A26" s="8">
        <v>1.0</v>
      </c>
      <c r="B26" s="9">
        <v>1.0E9</v>
      </c>
      <c r="C26" s="10">
        <v>26.230971862</v>
      </c>
      <c r="D26" s="11">
        <v>0.80478484599</v>
      </c>
      <c r="E26" s="12">
        <f t="shared" si="2"/>
        <v>0.001038381011</v>
      </c>
      <c r="G26" s="10"/>
      <c r="H26" s="10"/>
      <c r="I26" s="8"/>
      <c r="J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4.0"/>
    <col customWidth="1" min="4" max="4" width="17.0"/>
    <col customWidth="1" min="5" max="5" width="18.0"/>
    <col customWidth="1" min="6" max="6" width="3.0"/>
    <col customWidth="1" min="7" max="8" width="20.0"/>
    <col customWidth="1" min="9" max="9" width="24.0"/>
    <col customWidth="1" min="10" max="10" width="28.0"/>
    <col customWidth="1" min="11" max="26" width="8.71"/>
  </cols>
  <sheetData>
    <row r="1">
      <c r="A1" s="1" t="s">
        <v>12</v>
      </c>
    </row>
    <row r="2">
      <c r="A2" s="2"/>
    </row>
    <row r="4">
      <c r="A4" s="3" t="s">
        <v>1</v>
      </c>
      <c r="D4" s="4">
        <v>0.882081390762422</v>
      </c>
      <c r="E4" s="2" t="s">
        <v>2</v>
      </c>
    </row>
    <row r="5">
      <c r="A5" s="3" t="s">
        <v>3</v>
      </c>
      <c r="D5" s="4">
        <v>0.804776489343756</v>
      </c>
      <c r="E5" s="2" t="s">
        <v>4</v>
      </c>
    </row>
    <row r="7">
      <c r="A7" s="5" t="s">
        <v>5</v>
      </c>
      <c r="G7" s="5"/>
    </row>
    <row r="8" ht="31.5" customHeight="1">
      <c r="A8" s="6" t="s">
        <v>6</v>
      </c>
      <c r="B8" s="6" t="s">
        <v>7</v>
      </c>
      <c r="C8" s="6" t="s">
        <v>8</v>
      </c>
      <c r="D8" s="6" t="s">
        <v>9</v>
      </c>
      <c r="E8" s="6" t="s">
        <v>10</v>
      </c>
      <c r="G8" s="7"/>
      <c r="H8" s="7"/>
      <c r="I8" s="7"/>
      <c r="J8" s="7"/>
    </row>
    <row r="9">
      <c r="A9" s="8">
        <v>2.0</v>
      </c>
      <c r="B9" s="9">
        <v>1000.0</v>
      </c>
      <c r="C9" s="10">
        <v>6.207E-6</v>
      </c>
      <c r="D9" s="11">
        <v>0.885919612453333</v>
      </c>
      <c r="E9" s="12">
        <f t="shared" ref="E9:E15" si="1">ABS(D9-$D$4)/$D$4*100</f>
        <v>0.4351323734</v>
      </c>
      <c r="G9" s="10"/>
      <c r="H9" s="10"/>
      <c r="I9" s="8"/>
      <c r="J9" s="12"/>
    </row>
    <row r="10">
      <c r="A10" s="8">
        <v>2.0</v>
      </c>
      <c r="B10" s="9">
        <v>10000.0</v>
      </c>
      <c r="C10" s="10">
        <v>4.9603E-5</v>
      </c>
      <c r="D10" s="11">
        <v>0.881815890516667</v>
      </c>
      <c r="E10" s="12">
        <f t="shared" si="1"/>
        <v>0.03009929112</v>
      </c>
      <c r="G10" s="10"/>
      <c r="H10" s="10"/>
      <c r="I10" s="8"/>
      <c r="J10" s="12"/>
    </row>
    <row r="11">
      <c r="A11" s="8">
        <v>2.0</v>
      </c>
      <c r="B11" s="9">
        <v>100000.0</v>
      </c>
      <c r="C11" s="10">
        <v>4.86383E-4</v>
      </c>
      <c r="D11" s="11">
        <v>0.881494236103334</v>
      </c>
      <c r="E11" s="12">
        <f t="shared" si="1"/>
        <v>0.06656468045</v>
      </c>
      <c r="G11" s="10"/>
      <c r="H11" s="10"/>
      <c r="I11" s="8"/>
      <c r="J11" s="12"/>
    </row>
    <row r="12">
      <c r="A12" s="8">
        <v>2.0</v>
      </c>
      <c r="B12" s="9">
        <v>1000000.0</v>
      </c>
      <c r="C12" s="10">
        <v>0.004922515</v>
      </c>
      <c r="D12" s="11">
        <v>0.882073861953334</v>
      </c>
      <c r="E12" s="12">
        <f t="shared" si="1"/>
        <v>0.0008535277092</v>
      </c>
      <c r="G12" s="10"/>
      <c r="H12" s="10"/>
      <c r="I12" s="8"/>
      <c r="J12" s="12"/>
    </row>
    <row r="13">
      <c r="A13" s="8">
        <v>2.0</v>
      </c>
      <c r="B13" s="9">
        <v>1.0E7</v>
      </c>
      <c r="C13" s="10">
        <v>0.0498899485</v>
      </c>
      <c r="D13" s="11">
        <v>0.88215437476</v>
      </c>
      <c r="E13" s="12">
        <f t="shared" si="1"/>
        <v>0.008274066128</v>
      </c>
      <c r="G13" s="10"/>
      <c r="H13" s="10"/>
      <c r="I13" s="8"/>
      <c r="J13" s="12"/>
    </row>
    <row r="14">
      <c r="A14" s="8">
        <v>2.0</v>
      </c>
      <c r="B14" s="9">
        <v>1.0E8</v>
      </c>
      <c r="C14" s="10">
        <v>0.5211327695</v>
      </c>
      <c r="D14" s="11">
        <v>0.882090329793333</v>
      </c>
      <c r="E14" s="12">
        <f t="shared" si="1"/>
        <v>0.001013402052</v>
      </c>
      <c r="G14" s="10"/>
      <c r="H14" s="10"/>
      <c r="I14" s="8"/>
      <c r="J14" s="12"/>
    </row>
    <row r="15">
      <c r="A15" s="8">
        <v>2.0</v>
      </c>
      <c r="B15" s="9">
        <v>1.0E9</v>
      </c>
      <c r="C15" s="10">
        <v>5.319886576</v>
      </c>
      <c r="D15" s="11">
        <v>0.88207933655</v>
      </c>
      <c r="E15" s="12">
        <f t="shared" si="1"/>
        <v>0.0002328824124</v>
      </c>
      <c r="G15" s="10"/>
      <c r="H15" s="10"/>
      <c r="I15" s="8"/>
      <c r="J15" s="12"/>
    </row>
    <row r="18">
      <c r="A18" s="5" t="s">
        <v>11</v>
      </c>
      <c r="G18" s="5"/>
    </row>
    <row r="19" ht="31.5" customHeight="1">
      <c r="A19" s="6" t="s">
        <v>6</v>
      </c>
      <c r="B19" s="6" t="s">
        <v>7</v>
      </c>
      <c r="C19" s="6" t="s">
        <v>8</v>
      </c>
      <c r="D19" s="6" t="s">
        <v>9</v>
      </c>
      <c r="E19" s="6" t="s">
        <v>10</v>
      </c>
      <c r="G19" s="7"/>
      <c r="H19" s="7"/>
      <c r="I19" s="7"/>
      <c r="J19" s="7"/>
    </row>
    <row r="20">
      <c r="A20" s="8">
        <v>2.0</v>
      </c>
      <c r="B20" s="9">
        <v>1000.0</v>
      </c>
      <c r="C20" s="10">
        <v>1.84645E-5</v>
      </c>
      <c r="D20" s="11">
        <v>0.806741975793333</v>
      </c>
      <c r="E20" s="12">
        <f t="shared" ref="E20:E26" si="2">ABS(D20-$D$5)/$D$5*100</f>
        <v>0.2442276179</v>
      </c>
      <c r="G20" s="10"/>
      <c r="H20" s="10"/>
      <c r="I20" s="8"/>
      <c r="J20" s="12"/>
    </row>
    <row r="21" ht="15.75" customHeight="1">
      <c r="A21" s="8">
        <v>2.0</v>
      </c>
      <c r="B21" s="9">
        <v>10000.0</v>
      </c>
      <c r="C21" s="10">
        <v>1.31291E-4</v>
      </c>
      <c r="D21" s="11">
        <v>0.805873331946666</v>
      </c>
      <c r="E21" s="12">
        <f t="shared" si="2"/>
        <v>0.1362915813</v>
      </c>
      <c r="G21" s="10"/>
      <c r="H21" s="10"/>
      <c r="I21" s="8"/>
      <c r="J21" s="12"/>
    </row>
    <row r="22" ht="15.75" customHeight="1">
      <c r="A22" s="8">
        <v>2.0</v>
      </c>
      <c r="B22" s="9">
        <v>100000.0</v>
      </c>
      <c r="C22" s="10">
        <v>0.0012920685</v>
      </c>
      <c r="D22" s="11">
        <v>0.804259890106667</v>
      </c>
      <c r="E22" s="12">
        <f t="shared" si="2"/>
        <v>0.06419164127</v>
      </c>
      <c r="G22" s="10"/>
      <c r="H22" s="10"/>
      <c r="I22" s="8"/>
      <c r="J22" s="12"/>
    </row>
    <row r="23" ht="15.75" customHeight="1">
      <c r="A23" s="8">
        <v>2.0</v>
      </c>
      <c r="B23" s="9">
        <v>1000000.0</v>
      </c>
      <c r="C23" s="10">
        <v>0.013315491</v>
      </c>
      <c r="D23" s="11">
        <v>0.804569924273333</v>
      </c>
      <c r="E23" s="12">
        <f t="shared" si="2"/>
        <v>0.02566738382</v>
      </c>
      <c r="G23" s="10"/>
      <c r="H23" s="10"/>
      <c r="I23" s="8"/>
      <c r="J23" s="12"/>
    </row>
    <row r="24" ht="15.75" customHeight="1">
      <c r="A24" s="8">
        <v>2.0</v>
      </c>
      <c r="B24" s="9">
        <v>1.0E7</v>
      </c>
      <c r="C24" s="10">
        <v>0.1340482975</v>
      </c>
      <c r="D24" s="11">
        <v>0.804735763863333</v>
      </c>
      <c r="E24" s="12">
        <f t="shared" si="2"/>
        <v>0.005060470946</v>
      </c>
      <c r="G24" s="10"/>
      <c r="H24" s="10"/>
      <c r="I24" s="8"/>
      <c r="J24" s="12"/>
    </row>
    <row r="25" ht="15.75" customHeight="1">
      <c r="A25" s="8">
        <v>2.0</v>
      </c>
      <c r="B25" s="9">
        <v>1.0E8</v>
      </c>
      <c r="C25" s="10">
        <v>1.361864202</v>
      </c>
      <c r="D25" s="11">
        <v>0.804804988333334</v>
      </c>
      <c r="E25" s="12">
        <f t="shared" si="2"/>
        <v>0.003541230386</v>
      </c>
      <c r="G25" s="10"/>
      <c r="H25" s="10"/>
      <c r="I25" s="8"/>
      <c r="J25" s="12"/>
    </row>
    <row r="26" ht="15.75" customHeight="1">
      <c r="A26" s="8">
        <v>2.0</v>
      </c>
      <c r="B26" s="9">
        <v>1.0E9</v>
      </c>
      <c r="C26" s="10">
        <v>13.703932071</v>
      </c>
      <c r="D26" s="11">
        <v>0.804773802626667</v>
      </c>
      <c r="E26" s="12">
        <f t="shared" si="2"/>
        <v>0.0003338463691</v>
      </c>
      <c r="G26" s="10"/>
      <c r="H26" s="10"/>
      <c r="I26" s="8"/>
      <c r="J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4.0"/>
    <col customWidth="1" min="4" max="4" width="17.0"/>
    <col customWidth="1" min="5" max="5" width="18.0"/>
    <col customWidth="1" min="6" max="6" width="3.0"/>
    <col customWidth="1" min="7" max="8" width="20.0"/>
    <col customWidth="1" min="9" max="9" width="24.0"/>
    <col customWidth="1" min="10" max="10" width="28.0"/>
    <col customWidth="1" min="11" max="26" width="8.71"/>
  </cols>
  <sheetData>
    <row r="1">
      <c r="A1" s="1" t="s">
        <v>13</v>
      </c>
    </row>
    <row r="2">
      <c r="A2" s="2"/>
    </row>
    <row r="4">
      <c r="A4" s="3" t="s">
        <v>1</v>
      </c>
      <c r="D4" s="4">
        <v>0.882081390762422</v>
      </c>
      <c r="E4" s="2" t="s">
        <v>2</v>
      </c>
    </row>
    <row r="5">
      <c r="A5" s="3" t="s">
        <v>3</v>
      </c>
      <c r="D5" s="4">
        <v>0.804776489343756</v>
      </c>
      <c r="E5" s="2" t="s">
        <v>4</v>
      </c>
    </row>
    <row r="7">
      <c r="A7" s="5" t="s">
        <v>5</v>
      </c>
      <c r="G7" s="5"/>
    </row>
    <row r="8" ht="31.5" customHeight="1">
      <c r="A8" s="6" t="s">
        <v>6</v>
      </c>
      <c r="B8" s="6" t="s">
        <v>7</v>
      </c>
      <c r="C8" s="6" t="s">
        <v>8</v>
      </c>
      <c r="D8" s="6" t="s">
        <v>9</v>
      </c>
      <c r="E8" s="6" t="s">
        <v>10</v>
      </c>
      <c r="G8" s="7"/>
      <c r="H8" s="7"/>
      <c r="I8" s="7"/>
      <c r="J8" s="7"/>
    </row>
    <row r="9">
      <c r="A9" s="8">
        <v>4.0</v>
      </c>
      <c r="B9" s="9">
        <v>1000.0</v>
      </c>
      <c r="C9" s="10">
        <v>6.006E-6</v>
      </c>
      <c r="D9" s="11">
        <v>0.879784256686667</v>
      </c>
      <c r="E9" s="12">
        <f t="shared" ref="E9:E15" si="1">ABS(D9-$D$4)/$D$4*100</f>
        <v>0.2604220087</v>
      </c>
      <c r="G9" s="10"/>
      <c r="H9" s="10"/>
      <c r="I9" s="8"/>
      <c r="J9" s="12"/>
    </row>
    <row r="10">
      <c r="A10" s="8">
        <v>4.0</v>
      </c>
      <c r="B10" s="9">
        <v>10000.0</v>
      </c>
      <c r="C10" s="10">
        <v>3.12935E-5</v>
      </c>
      <c r="D10" s="11">
        <v>0.881980369853333</v>
      </c>
      <c r="E10" s="12">
        <f t="shared" si="1"/>
        <v>0.01145256097</v>
      </c>
      <c r="G10" s="10"/>
      <c r="H10" s="10"/>
      <c r="I10" s="8"/>
      <c r="J10" s="12"/>
    </row>
    <row r="11">
      <c r="A11" s="8">
        <v>4.0</v>
      </c>
      <c r="B11" s="9">
        <v>100000.0</v>
      </c>
      <c r="C11" s="10">
        <v>2.84945E-4</v>
      </c>
      <c r="D11" s="11">
        <v>0.882147092343333</v>
      </c>
      <c r="E11" s="12">
        <f t="shared" si="1"/>
        <v>0.00744847149</v>
      </c>
      <c r="G11" s="10"/>
      <c r="H11" s="10"/>
      <c r="I11" s="8"/>
      <c r="J11" s="12"/>
    </row>
    <row r="12">
      <c r="A12" s="8">
        <v>4.0</v>
      </c>
      <c r="B12" s="9">
        <v>1000000.0</v>
      </c>
      <c r="C12" s="10">
        <v>0.002800879</v>
      </c>
      <c r="D12" s="11">
        <v>0.882096102283333</v>
      </c>
      <c r="E12" s="12">
        <f t="shared" si="1"/>
        <v>0.001667818986</v>
      </c>
      <c r="G12" s="10"/>
      <c r="H12" s="10"/>
      <c r="I12" s="8"/>
      <c r="J12" s="12"/>
    </row>
    <row r="13">
      <c r="A13" s="8">
        <v>4.0</v>
      </c>
      <c r="B13" s="9">
        <v>1.0E7</v>
      </c>
      <c r="C13" s="10">
        <v>0.028194386</v>
      </c>
      <c r="D13" s="11">
        <v>0.8820814184</v>
      </c>
      <c r="E13" s="12">
        <f t="shared" si="1"/>
        <v>0.000003133223112</v>
      </c>
      <c r="G13" s="10"/>
      <c r="H13" s="10"/>
      <c r="I13" s="8"/>
      <c r="J13" s="12"/>
    </row>
    <row r="14">
      <c r="A14" s="8">
        <v>4.0</v>
      </c>
      <c r="B14" s="9">
        <v>1.0E8</v>
      </c>
      <c r="C14" s="10">
        <v>0.292391606</v>
      </c>
      <c r="D14" s="11">
        <v>0.882078730833333</v>
      </c>
      <c r="E14" s="12">
        <f t="shared" si="1"/>
        <v>0.0003015514347</v>
      </c>
      <c r="G14" s="10"/>
      <c r="H14" s="10"/>
      <c r="I14" s="8"/>
      <c r="J14" s="12"/>
    </row>
    <row r="15">
      <c r="A15" s="8">
        <v>4.0</v>
      </c>
      <c r="B15" s="9">
        <v>1.0E9</v>
      </c>
      <c r="C15" s="10">
        <v>3.0209700735</v>
      </c>
      <c r="D15" s="11">
        <v>0.882074173506667</v>
      </c>
      <c r="E15" s="12">
        <f t="shared" si="1"/>
        <v>0.0008182074614</v>
      </c>
      <c r="G15" s="10"/>
      <c r="H15" s="10"/>
      <c r="I15" s="8"/>
      <c r="J15" s="12"/>
    </row>
    <row r="18">
      <c r="A18" s="5" t="s">
        <v>11</v>
      </c>
      <c r="G18" s="5"/>
    </row>
    <row r="19" ht="31.5" customHeight="1">
      <c r="A19" s="6" t="s">
        <v>6</v>
      </c>
      <c r="B19" s="6" t="s">
        <v>7</v>
      </c>
      <c r="C19" s="6" t="s">
        <v>8</v>
      </c>
      <c r="D19" s="6" t="s">
        <v>9</v>
      </c>
      <c r="E19" s="6" t="s">
        <v>10</v>
      </c>
      <c r="G19" s="7"/>
      <c r="H19" s="7"/>
      <c r="I19" s="7"/>
      <c r="J19" s="7"/>
    </row>
    <row r="20">
      <c r="A20" s="8">
        <v>4.0</v>
      </c>
      <c r="B20" s="9">
        <v>1000.0</v>
      </c>
      <c r="C20" s="10">
        <v>1.375E-5</v>
      </c>
      <c r="D20" s="11">
        <v>0.801775560206667</v>
      </c>
      <c r="E20" s="12">
        <f t="shared" ref="E20:E26" si="2">ABS(D20-$D$5)/$D$5*100</f>
        <v>0.3728897622</v>
      </c>
      <c r="G20" s="10"/>
      <c r="H20" s="10"/>
      <c r="I20" s="8"/>
      <c r="J20" s="12"/>
    </row>
    <row r="21" ht="15.75" customHeight="1">
      <c r="A21" s="8">
        <v>4.0</v>
      </c>
      <c r="B21" s="9">
        <v>10000.0</v>
      </c>
      <c r="C21" s="10">
        <v>7.25205E-5</v>
      </c>
      <c r="D21" s="11">
        <v>0.80407799217</v>
      </c>
      <c r="E21" s="12">
        <f t="shared" si="2"/>
        <v>0.08679393384</v>
      </c>
      <c r="G21" s="10"/>
      <c r="H21" s="10"/>
      <c r="I21" s="8"/>
      <c r="J21" s="12"/>
    </row>
    <row r="22" ht="15.75" customHeight="1">
      <c r="A22" s="8">
        <v>4.0</v>
      </c>
      <c r="B22" s="9">
        <v>100000.0</v>
      </c>
      <c r="C22" s="10">
        <v>7.347535E-4</v>
      </c>
      <c r="D22" s="11">
        <v>0.804527086043333</v>
      </c>
      <c r="E22" s="12">
        <f t="shared" si="2"/>
        <v>0.03099038102</v>
      </c>
      <c r="G22" s="10"/>
      <c r="H22" s="10"/>
      <c r="I22" s="8"/>
      <c r="J22" s="12"/>
    </row>
    <row r="23" ht="15.75" customHeight="1">
      <c r="A23" s="8">
        <v>4.0</v>
      </c>
      <c r="B23" s="9">
        <v>1000000.0</v>
      </c>
      <c r="C23" s="10">
        <v>0.007331874</v>
      </c>
      <c r="D23" s="11">
        <v>0.804729615993333</v>
      </c>
      <c r="E23" s="12">
        <f t="shared" si="2"/>
        <v>0.00582439361</v>
      </c>
      <c r="G23" s="10"/>
      <c r="H23" s="10"/>
      <c r="I23" s="8"/>
      <c r="J23" s="12"/>
    </row>
    <row r="24" ht="15.75" customHeight="1">
      <c r="A24" s="8">
        <v>4.0</v>
      </c>
      <c r="B24" s="9">
        <v>1.0E7</v>
      </c>
      <c r="C24" s="10">
        <v>0.0736173885</v>
      </c>
      <c r="D24" s="11">
        <v>0.80478141903</v>
      </c>
      <c r="E24" s="12">
        <f t="shared" si="2"/>
        <v>0.0006125534616</v>
      </c>
      <c r="G24" s="10"/>
      <c r="H24" s="10"/>
      <c r="I24" s="8"/>
      <c r="J24" s="12"/>
    </row>
    <row r="25" ht="15.75" customHeight="1">
      <c r="A25" s="8">
        <v>4.0</v>
      </c>
      <c r="B25" s="9">
        <v>1.0E8</v>
      </c>
      <c r="C25" s="10">
        <v>0.7548879365</v>
      </c>
      <c r="D25" s="11">
        <v>0.804778506566667</v>
      </c>
      <c r="E25" s="12">
        <f t="shared" si="2"/>
        <v>0.0002506562925</v>
      </c>
      <c r="G25" s="10"/>
      <c r="H25" s="10"/>
      <c r="I25" s="8"/>
      <c r="J25" s="12"/>
    </row>
    <row r="26" ht="15.75" customHeight="1">
      <c r="A26" s="8">
        <v>4.0</v>
      </c>
      <c r="B26" s="9">
        <v>1.0E9</v>
      </c>
      <c r="C26" s="10">
        <v>7.6453305675</v>
      </c>
      <c r="D26" s="11">
        <v>0.804778152526667</v>
      </c>
      <c r="E26" s="12">
        <f t="shared" si="2"/>
        <v>0.0002066639537</v>
      </c>
      <c r="G26" s="10"/>
      <c r="H26" s="10"/>
      <c r="I26" s="8"/>
      <c r="J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4.0"/>
    <col customWidth="1" min="4" max="4" width="17.0"/>
    <col customWidth="1" min="5" max="5" width="18.0"/>
    <col customWidth="1" min="6" max="6" width="3.0"/>
    <col customWidth="1" min="7" max="8" width="20.0"/>
    <col customWidth="1" min="9" max="9" width="24.0"/>
    <col customWidth="1" min="10" max="10" width="28.0"/>
    <col customWidth="1" min="11" max="26" width="8.71"/>
  </cols>
  <sheetData>
    <row r="1">
      <c r="A1" s="1" t="s">
        <v>14</v>
      </c>
    </row>
    <row r="2">
      <c r="A2" s="2"/>
    </row>
    <row r="4">
      <c r="A4" s="3" t="s">
        <v>1</v>
      </c>
      <c r="D4" s="4">
        <v>0.882081390762422</v>
      </c>
      <c r="E4" s="2" t="s">
        <v>2</v>
      </c>
    </row>
    <row r="5">
      <c r="A5" s="3" t="s">
        <v>3</v>
      </c>
      <c r="D5" s="4">
        <v>0.804776489343756</v>
      </c>
      <c r="E5" s="2" t="s">
        <v>4</v>
      </c>
    </row>
    <row r="7">
      <c r="A7" s="5" t="s">
        <v>5</v>
      </c>
      <c r="G7" s="5"/>
    </row>
    <row r="8" ht="31.5" customHeight="1">
      <c r="A8" s="6" t="s">
        <v>6</v>
      </c>
      <c r="B8" s="6" t="s">
        <v>7</v>
      </c>
      <c r="C8" s="6" t="s">
        <v>8</v>
      </c>
      <c r="D8" s="6" t="s">
        <v>9</v>
      </c>
      <c r="E8" s="6" t="s">
        <v>10</v>
      </c>
      <c r="G8" s="7"/>
      <c r="H8" s="7"/>
      <c r="I8" s="7"/>
      <c r="J8" s="7"/>
    </row>
    <row r="9">
      <c r="A9" s="8">
        <v>8.0</v>
      </c>
      <c r="B9" s="9">
        <v>1000.0</v>
      </c>
      <c r="C9" s="10">
        <v>1.2118E-5</v>
      </c>
      <c r="D9" s="11">
        <v>0.877344684923333</v>
      </c>
      <c r="E9" s="12">
        <f t="shared" ref="E9:E15" si="1">ABS(D9-$D$4)/$D$4*100</f>
        <v>0.5369919249</v>
      </c>
      <c r="G9" s="10"/>
      <c r="H9" s="10"/>
      <c r="I9" s="8"/>
      <c r="J9" s="12"/>
    </row>
    <row r="10">
      <c r="A10" s="8">
        <v>8.0</v>
      </c>
      <c r="B10" s="9">
        <v>10000.0</v>
      </c>
      <c r="C10" s="10">
        <v>2.2953E-5</v>
      </c>
      <c r="D10" s="11">
        <v>0.881299878643333</v>
      </c>
      <c r="E10" s="12">
        <f t="shared" si="1"/>
        <v>0.08859864036</v>
      </c>
      <c r="G10" s="10"/>
      <c r="H10" s="10"/>
      <c r="I10" s="8"/>
      <c r="J10" s="12"/>
    </row>
    <row r="11">
      <c r="A11" s="8">
        <v>8.0</v>
      </c>
      <c r="B11" s="9">
        <v>100000.0</v>
      </c>
      <c r="C11" s="10">
        <v>1.692275E-4</v>
      </c>
      <c r="D11" s="11">
        <v>0.88212153485</v>
      </c>
      <c r="E11" s="12">
        <f t="shared" si="1"/>
        <v>0.004551063881</v>
      </c>
      <c r="G11" s="10"/>
      <c r="H11" s="10"/>
      <c r="I11" s="8"/>
      <c r="J11" s="12"/>
    </row>
    <row r="12">
      <c r="A12" s="8">
        <v>8.0</v>
      </c>
      <c r="B12" s="9">
        <v>1000000.0</v>
      </c>
      <c r="C12" s="10">
        <v>0.0018756085</v>
      </c>
      <c r="D12" s="11">
        <v>0.88201893805</v>
      </c>
      <c r="E12" s="12">
        <f t="shared" si="1"/>
        <v>0.007080153042</v>
      </c>
      <c r="G12" s="10"/>
      <c r="H12" s="10"/>
      <c r="I12" s="8"/>
      <c r="J12" s="12"/>
    </row>
    <row r="13">
      <c r="A13" s="8">
        <v>8.0</v>
      </c>
      <c r="B13" s="9">
        <v>1.0E7</v>
      </c>
      <c r="C13" s="10">
        <v>0.01646619</v>
      </c>
      <c r="D13" s="11">
        <v>0.88205613243</v>
      </c>
      <c r="E13" s="12">
        <f t="shared" si="1"/>
        <v>0.002863492268</v>
      </c>
      <c r="G13" s="10"/>
      <c r="H13" s="10"/>
      <c r="I13" s="8"/>
      <c r="J13" s="12"/>
    </row>
    <row r="14">
      <c r="A14" s="8">
        <v>8.0</v>
      </c>
      <c r="B14" s="9">
        <v>1.0E8</v>
      </c>
      <c r="C14" s="10">
        <v>0.1644387265</v>
      </c>
      <c r="D14" s="11">
        <v>0.882093696036667</v>
      </c>
      <c r="E14" s="12">
        <f t="shared" si="1"/>
        <v>0.001395027077</v>
      </c>
      <c r="G14" s="10"/>
      <c r="H14" s="10"/>
      <c r="I14" s="8"/>
      <c r="J14" s="12"/>
    </row>
    <row r="15">
      <c r="A15" s="8">
        <v>8.0</v>
      </c>
      <c r="B15" s="9">
        <v>1.0E9</v>
      </c>
      <c r="C15" s="10">
        <v>1.7449357395</v>
      </c>
      <c r="D15" s="11">
        <v>0.882086618653333</v>
      </c>
      <c r="E15" s="12">
        <f t="shared" si="1"/>
        <v>0.0005926767037</v>
      </c>
      <c r="G15" s="10"/>
      <c r="H15" s="10"/>
      <c r="I15" s="8"/>
      <c r="J15" s="12"/>
    </row>
    <row r="18">
      <c r="A18" s="5" t="s">
        <v>11</v>
      </c>
      <c r="G18" s="5"/>
    </row>
    <row r="19" ht="31.5" customHeight="1">
      <c r="A19" s="6" t="s">
        <v>6</v>
      </c>
      <c r="B19" s="6" t="s">
        <v>7</v>
      </c>
      <c r="C19" s="6" t="s">
        <v>8</v>
      </c>
      <c r="D19" s="6" t="s">
        <v>9</v>
      </c>
      <c r="E19" s="6" t="s">
        <v>10</v>
      </c>
      <c r="G19" s="7"/>
      <c r="H19" s="7"/>
      <c r="I19" s="7"/>
      <c r="J19" s="7"/>
    </row>
    <row r="20">
      <c r="A20" s="8">
        <v>8.0</v>
      </c>
      <c r="B20" s="9">
        <v>1000.0</v>
      </c>
      <c r="C20" s="10">
        <v>1.68615E-5</v>
      </c>
      <c r="D20" s="11">
        <v>0.803878902656667</v>
      </c>
      <c r="E20" s="12">
        <f t="shared" ref="E20:E26" si="2">ABS(D20-$D$5)/$D$5*100</f>
        <v>0.1115324191</v>
      </c>
      <c r="G20" s="10"/>
      <c r="H20" s="10"/>
      <c r="I20" s="8"/>
      <c r="J20" s="12"/>
    </row>
    <row r="21" ht="15.75" customHeight="1">
      <c r="A21" s="8">
        <v>8.0</v>
      </c>
      <c r="B21" s="9">
        <v>10000.0</v>
      </c>
      <c r="C21" s="10">
        <v>5.19075E-5</v>
      </c>
      <c r="D21" s="11">
        <v>0.804897336126667</v>
      </c>
      <c r="E21" s="12">
        <f t="shared" si="2"/>
        <v>0.01501619201</v>
      </c>
      <c r="G21" s="10"/>
      <c r="H21" s="10"/>
      <c r="I21" s="8"/>
      <c r="J21" s="12"/>
    </row>
    <row r="22" ht="15.75" customHeight="1">
      <c r="A22" s="8">
        <v>8.0</v>
      </c>
      <c r="B22" s="9">
        <v>100000.0</v>
      </c>
      <c r="C22" s="10">
        <v>4.00727E-4</v>
      </c>
      <c r="D22" s="11">
        <v>0.80512496379</v>
      </c>
      <c r="E22" s="12">
        <f t="shared" si="2"/>
        <v>0.04330077368</v>
      </c>
      <c r="G22" s="10"/>
      <c r="H22" s="10"/>
      <c r="I22" s="8"/>
      <c r="J22" s="12"/>
    </row>
    <row r="23" ht="15.75" customHeight="1">
      <c r="A23" s="8">
        <v>8.0</v>
      </c>
      <c r="B23" s="9">
        <v>1000000.0</v>
      </c>
      <c r="C23" s="10">
        <v>0.004315265</v>
      </c>
      <c r="D23" s="11">
        <v>0.80465435895</v>
      </c>
      <c r="E23" s="12">
        <f t="shared" si="2"/>
        <v>0.01517569106</v>
      </c>
      <c r="G23" s="10"/>
      <c r="H23" s="10"/>
      <c r="I23" s="8"/>
      <c r="J23" s="12"/>
    </row>
    <row r="24" ht="15.75" customHeight="1">
      <c r="A24" s="8">
        <v>8.0</v>
      </c>
      <c r="B24" s="9">
        <v>1.0E7</v>
      </c>
      <c r="C24" s="10">
        <v>0.041627497</v>
      </c>
      <c r="D24" s="11">
        <v>0.804805566476667</v>
      </c>
      <c r="E24" s="12">
        <f t="shared" si="2"/>
        <v>0.00361306938</v>
      </c>
      <c r="G24" s="10"/>
      <c r="H24" s="10"/>
      <c r="I24" s="8"/>
      <c r="J24" s="12"/>
    </row>
    <row r="25" ht="15.75" customHeight="1">
      <c r="A25" s="8">
        <v>8.0</v>
      </c>
      <c r="B25" s="9">
        <v>1.0E8</v>
      </c>
      <c r="C25" s="10">
        <v>0.4278931525</v>
      </c>
      <c r="D25" s="11">
        <v>0.804765672176667</v>
      </c>
      <c r="E25" s="12">
        <f t="shared" si="2"/>
        <v>0.001344120664</v>
      </c>
      <c r="G25" s="10"/>
      <c r="H25" s="10"/>
      <c r="I25" s="8"/>
      <c r="J25" s="12"/>
    </row>
    <row r="26" ht="15.75" customHeight="1">
      <c r="A26" s="8">
        <v>8.0</v>
      </c>
      <c r="B26" s="9">
        <v>1.0E9</v>
      </c>
      <c r="C26" s="10">
        <v>4.346741741</v>
      </c>
      <c r="D26" s="11">
        <v>0.804778519513333</v>
      </c>
      <c r="E26" s="12">
        <f t="shared" si="2"/>
        <v>0.0002522650206</v>
      </c>
      <c r="G26" s="10"/>
      <c r="H26" s="10"/>
      <c r="I26" s="8"/>
      <c r="J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4.0"/>
    <col customWidth="1" min="4" max="4" width="17.0"/>
    <col customWidth="1" min="5" max="5" width="18.0"/>
    <col customWidth="1" min="6" max="6" width="3.0"/>
    <col customWidth="1" min="7" max="8" width="20.0"/>
    <col customWidth="1" min="9" max="9" width="24.0"/>
    <col customWidth="1" min="10" max="10" width="28.0"/>
    <col customWidth="1" min="11" max="26" width="8.71"/>
  </cols>
  <sheetData>
    <row r="1">
      <c r="A1" s="1" t="s">
        <v>15</v>
      </c>
    </row>
    <row r="2">
      <c r="A2" s="2"/>
    </row>
    <row r="4">
      <c r="A4" s="3" t="s">
        <v>1</v>
      </c>
      <c r="D4" s="4">
        <v>0.882081390762422</v>
      </c>
      <c r="E4" s="2" t="s">
        <v>2</v>
      </c>
    </row>
    <row r="5">
      <c r="A5" s="3" t="s">
        <v>3</v>
      </c>
      <c r="D5" s="4">
        <v>0.804776489343756</v>
      </c>
      <c r="E5" s="2" t="s">
        <v>4</v>
      </c>
    </row>
    <row r="7">
      <c r="A7" s="5" t="s">
        <v>5</v>
      </c>
      <c r="G7" s="5"/>
    </row>
    <row r="8" ht="31.5" customHeight="1">
      <c r="A8" s="6" t="s">
        <v>6</v>
      </c>
      <c r="B8" s="6" t="s">
        <v>7</v>
      </c>
      <c r="C8" s="6" t="s">
        <v>8</v>
      </c>
      <c r="D8" s="6" t="s">
        <v>9</v>
      </c>
      <c r="E8" s="6" t="s">
        <v>10</v>
      </c>
      <c r="G8" s="7"/>
      <c r="H8" s="7"/>
      <c r="I8" s="7"/>
      <c r="J8" s="7"/>
    </row>
    <row r="9">
      <c r="A9" s="8">
        <v>12.0</v>
      </c>
      <c r="B9" s="9">
        <v>1000.0</v>
      </c>
      <c r="C9" s="10">
        <v>2.00375E-5</v>
      </c>
      <c r="D9" s="11">
        <v>0.890762306336667</v>
      </c>
      <c r="E9" s="12">
        <f t="shared" ref="E9:E15" si="1">ABS(D9-$D$4)/$D$4*100</f>
        <v>0.9841399745</v>
      </c>
      <c r="G9" s="10"/>
      <c r="H9" s="10"/>
      <c r="I9" s="8"/>
      <c r="J9" s="12"/>
    </row>
    <row r="10">
      <c r="A10" s="8">
        <v>12.0</v>
      </c>
      <c r="B10" s="9">
        <v>10000.0</v>
      </c>
      <c r="C10" s="10">
        <v>3.78815E-5</v>
      </c>
      <c r="D10" s="11">
        <v>0.882012644136667</v>
      </c>
      <c r="E10" s="12">
        <f t="shared" si="1"/>
        <v>0.007793682814</v>
      </c>
      <c r="G10" s="10"/>
      <c r="H10" s="10"/>
      <c r="I10" s="8"/>
      <c r="J10" s="12"/>
    </row>
    <row r="11">
      <c r="A11" s="8">
        <v>12.0</v>
      </c>
      <c r="B11" s="9">
        <v>100000.0</v>
      </c>
      <c r="C11" s="10">
        <v>2.69222E-4</v>
      </c>
      <c r="D11" s="11">
        <v>0.882202336846667</v>
      </c>
      <c r="E11" s="12">
        <f t="shared" si="1"/>
        <v>0.01371144268</v>
      </c>
      <c r="G11" s="10"/>
      <c r="H11" s="10"/>
      <c r="I11" s="8"/>
      <c r="J11" s="12"/>
    </row>
    <row r="12">
      <c r="A12" s="8">
        <v>12.0</v>
      </c>
      <c r="B12" s="9">
        <v>1000000.0</v>
      </c>
      <c r="C12" s="10">
        <v>0.002615716</v>
      </c>
      <c r="D12" s="11">
        <v>0.881968204596667</v>
      </c>
      <c r="E12" s="12">
        <f t="shared" si="1"/>
        <v>0.0128317145</v>
      </c>
      <c r="G12" s="10"/>
      <c r="H12" s="10"/>
      <c r="I12" s="8"/>
      <c r="J12" s="12"/>
    </row>
    <row r="13">
      <c r="A13" s="8">
        <v>12.0</v>
      </c>
      <c r="B13" s="9">
        <v>1.0E7</v>
      </c>
      <c r="C13" s="10">
        <v>0.020929311</v>
      </c>
      <c r="D13" s="11">
        <v>0.88213444424</v>
      </c>
      <c r="E13" s="12">
        <f t="shared" si="1"/>
        <v>0.006014578488</v>
      </c>
      <c r="G13" s="10"/>
      <c r="H13" s="10"/>
      <c r="I13" s="8"/>
      <c r="J13" s="12"/>
    </row>
    <row r="14">
      <c r="A14" s="8">
        <v>12.0</v>
      </c>
      <c r="B14" s="9">
        <v>1.0E8</v>
      </c>
      <c r="C14" s="10">
        <v>0.2058088105</v>
      </c>
      <c r="D14" s="11">
        <v>0.88210706805</v>
      </c>
      <c r="E14" s="12">
        <f t="shared" si="1"/>
        <v>0.00291098847</v>
      </c>
      <c r="G14" s="10"/>
      <c r="H14" s="10"/>
      <c r="I14" s="8"/>
      <c r="J14" s="12"/>
    </row>
    <row r="15">
      <c r="A15" s="8">
        <v>12.0</v>
      </c>
      <c r="B15" s="9">
        <v>1.0E9</v>
      </c>
      <c r="C15" s="10">
        <v>2.284145098</v>
      </c>
      <c r="D15" s="11">
        <v>0.88207867014</v>
      </c>
      <c r="E15" s="12">
        <f t="shared" si="1"/>
        <v>0.00030843213</v>
      </c>
      <c r="G15" s="10"/>
      <c r="H15" s="10"/>
      <c r="I15" s="8"/>
      <c r="J15" s="12"/>
    </row>
    <row r="18">
      <c r="A18" s="5" t="s">
        <v>11</v>
      </c>
      <c r="G18" s="5"/>
    </row>
    <row r="19" ht="31.5" customHeight="1">
      <c r="A19" s="6" t="s">
        <v>6</v>
      </c>
      <c r="B19" s="6" t="s">
        <v>7</v>
      </c>
      <c r="C19" s="6" t="s">
        <v>8</v>
      </c>
      <c r="D19" s="6" t="s">
        <v>9</v>
      </c>
      <c r="E19" s="6" t="s">
        <v>10</v>
      </c>
      <c r="G19" s="7"/>
      <c r="H19" s="7"/>
      <c r="I19" s="7"/>
      <c r="J19" s="7"/>
    </row>
    <row r="20">
      <c r="A20" s="8">
        <v>12.0</v>
      </c>
      <c r="B20" s="9">
        <v>1000.0</v>
      </c>
      <c r="C20" s="10">
        <v>2.08645E-5</v>
      </c>
      <c r="D20" s="11">
        <v>0.795924624883333</v>
      </c>
      <c r="E20" s="12">
        <f t="shared" ref="E20:E26" si="2">ABS(D20-$D$5)/$D$5*100</f>
        <v>1.099915887</v>
      </c>
      <c r="G20" s="10"/>
      <c r="H20" s="10"/>
      <c r="I20" s="8"/>
      <c r="J20" s="12"/>
    </row>
    <row r="21" ht="15.75" customHeight="1">
      <c r="A21" s="8">
        <v>12.0</v>
      </c>
      <c r="B21" s="9">
        <v>10000.0</v>
      </c>
      <c r="C21" s="10">
        <v>5.45175E-5</v>
      </c>
      <c r="D21" s="11">
        <v>0.803550971193333</v>
      </c>
      <c r="E21" s="12">
        <f t="shared" si="2"/>
        <v>0.1522805607</v>
      </c>
      <c r="G21" s="10"/>
      <c r="H21" s="10"/>
      <c r="I21" s="8"/>
      <c r="J21" s="12"/>
    </row>
    <row r="22" ht="15.75" customHeight="1">
      <c r="A22" s="8">
        <v>12.0</v>
      </c>
      <c r="B22" s="9">
        <v>100000.0</v>
      </c>
      <c r="C22" s="10">
        <v>5.10431E-4</v>
      </c>
      <c r="D22" s="11">
        <v>0.804120435813333</v>
      </c>
      <c r="E22" s="12">
        <f t="shared" si="2"/>
        <v>0.08151996723</v>
      </c>
      <c r="G22" s="10"/>
      <c r="H22" s="10"/>
      <c r="I22" s="8"/>
      <c r="J22" s="12"/>
    </row>
    <row r="23" ht="15.75" customHeight="1">
      <c r="A23" s="8">
        <v>12.0</v>
      </c>
      <c r="B23" s="9">
        <v>1000000.0</v>
      </c>
      <c r="C23" s="10">
        <v>0.0037130375</v>
      </c>
      <c r="D23" s="11">
        <v>0.804703664513333</v>
      </c>
      <c r="E23" s="12">
        <f t="shared" si="2"/>
        <v>0.009049075288</v>
      </c>
      <c r="G23" s="10"/>
      <c r="H23" s="10"/>
      <c r="I23" s="8"/>
      <c r="J23" s="12"/>
    </row>
    <row r="24" ht="15.75" customHeight="1">
      <c r="A24" s="8">
        <v>12.0</v>
      </c>
      <c r="B24" s="9">
        <v>1.0E7</v>
      </c>
      <c r="C24" s="10">
        <v>0.0373310245</v>
      </c>
      <c r="D24" s="11">
        <v>0.80472195423</v>
      </c>
      <c r="E24" s="12">
        <f t="shared" si="2"/>
        <v>0.006776429789</v>
      </c>
      <c r="G24" s="10"/>
      <c r="H24" s="10"/>
      <c r="I24" s="8"/>
      <c r="J24" s="12"/>
    </row>
    <row r="25" ht="15.75" customHeight="1">
      <c r="A25" s="8">
        <v>12.0</v>
      </c>
      <c r="B25" s="9">
        <v>1.0E8</v>
      </c>
      <c r="C25" s="10">
        <v>0.3862811005</v>
      </c>
      <c r="D25" s="11">
        <v>0.804767244973333</v>
      </c>
      <c r="E25" s="12">
        <f t="shared" si="2"/>
        <v>0.001148687933</v>
      </c>
      <c r="G25" s="10"/>
      <c r="H25" s="10"/>
      <c r="I25" s="8"/>
      <c r="J25" s="12"/>
    </row>
    <row r="26" ht="15.75" customHeight="1">
      <c r="A26" s="8">
        <v>12.0</v>
      </c>
      <c r="B26" s="9">
        <v>1.0E9</v>
      </c>
      <c r="C26" s="10">
        <v>4.1331954655</v>
      </c>
      <c r="D26" s="11">
        <v>0.804770783946667</v>
      </c>
      <c r="E26" s="12">
        <f t="shared" si="2"/>
        <v>0.0007089418198</v>
      </c>
      <c r="G26" s="10"/>
      <c r="H26" s="10"/>
      <c r="I26" s="8"/>
      <c r="J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4.0"/>
    <col customWidth="1" min="4" max="4" width="17.0"/>
    <col customWidth="1" min="5" max="5" width="18.0"/>
    <col customWidth="1" min="6" max="6" width="3.0"/>
    <col customWidth="1" min="7" max="8" width="20.0"/>
    <col customWidth="1" min="9" max="9" width="24.0"/>
    <col customWidth="1" min="10" max="10" width="28.0"/>
    <col customWidth="1" min="11" max="26" width="8.71"/>
  </cols>
  <sheetData>
    <row r="1">
      <c r="A1" s="1" t="s">
        <v>16</v>
      </c>
    </row>
    <row r="2">
      <c r="A2" s="2"/>
    </row>
    <row r="4">
      <c r="A4" s="3" t="s">
        <v>1</v>
      </c>
      <c r="D4" s="4">
        <v>0.882081390762422</v>
      </c>
      <c r="E4" s="2" t="s">
        <v>2</v>
      </c>
    </row>
    <row r="5">
      <c r="A5" s="3" t="s">
        <v>3</v>
      </c>
      <c r="D5" s="4">
        <v>0.804776489343756</v>
      </c>
      <c r="E5" s="2" t="s">
        <v>4</v>
      </c>
    </row>
    <row r="7">
      <c r="A7" s="5" t="s">
        <v>5</v>
      </c>
      <c r="G7" s="5"/>
    </row>
    <row r="8" ht="31.5" customHeight="1">
      <c r="A8" s="6" t="s">
        <v>6</v>
      </c>
      <c r="B8" s="6" t="s">
        <v>7</v>
      </c>
      <c r="C8" s="6" t="s">
        <v>8</v>
      </c>
      <c r="D8" s="6" t="s">
        <v>9</v>
      </c>
      <c r="E8" s="6" t="s">
        <v>10</v>
      </c>
      <c r="G8" s="7"/>
      <c r="H8" s="7"/>
      <c r="I8" s="7"/>
      <c r="J8" s="7"/>
    </row>
    <row r="9">
      <c r="A9" s="8">
        <v>16.0</v>
      </c>
      <c r="B9" s="9">
        <v>1000.0</v>
      </c>
      <c r="C9" s="10">
        <v>3.967E-5</v>
      </c>
      <c r="D9" s="11">
        <v>0.888048520996667</v>
      </c>
      <c r="E9" s="12">
        <f t="shared" ref="E9:E15" si="1">ABS(D9-$D$4)/$D$4*100</f>
        <v>0.6764829523</v>
      </c>
      <c r="G9" s="10"/>
      <c r="H9" s="10"/>
      <c r="I9" s="8"/>
      <c r="J9" s="12"/>
    </row>
    <row r="10">
      <c r="A10" s="8">
        <v>16.0</v>
      </c>
      <c r="B10" s="9">
        <v>10000.0</v>
      </c>
      <c r="C10" s="10">
        <v>5.9963E-5</v>
      </c>
      <c r="D10" s="11">
        <v>0.88175597145</v>
      </c>
      <c r="E10" s="12">
        <f t="shared" si="1"/>
        <v>0.03689220925</v>
      </c>
      <c r="G10" s="10"/>
      <c r="H10" s="10"/>
      <c r="I10" s="8"/>
      <c r="J10" s="12"/>
    </row>
    <row r="11">
      <c r="A11" s="8">
        <v>16.0</v>
      </c>
      <c r="B11" s="9">
        <v>100000.0</v>
      </c>
      <c r="C11" s="10">
        <v>3.39279E-4</v>
      </c>
      <c r="D11" s="11">
        <v>0.88238759843</v>
      </c>
      <c r="E11" s="12">
        <f t="shared" si="1"/>
        <v>0.03471421921</v>
      </c>
      <c r="G11" s="10"/>
      <c r="H11" s="10"/>
      <c r="I11" s="8"/>
      <c r="J11" s="12"/>
    </row>
    <row r="12">
      <c r="A12" s="8">
        <v>16.0</v>
      </c>
      <c r="B12" s="9">
        <v>1000000.0</v>
      </c>
      <c r="C12" s="10">
        <v>0.0030407415</v>
      </c>
      <c r="D12" s="11">
        <v>0.88211124555</v>
      </c>
      <c r="E12" s="12">
        <f t="shared" si="1"/>
        <v>0.003384584222</v>
      </c>
      <c r="G12" s="10"/>
      <c r="H12" s="10"/>
      <c r="I12" s="8"/>
      <c r="J12" s="12"/>
    </row>
    <row r="13">
      <c r="A13" s="8">
        <v>16.0</v>
      </c>
      <c r="B13" s="9">
        <v>1.0E7</v>
      </c>
      <c r="C13" s="10">
        <v>0.0236251425</v>
      </c>
      <c r="D13" s="11">
        <v>0.882104558933333</v>
      </c>
      <c r="E13" s="12">
        <f t="shared" si="1"/>
        <v>0.002626534371</v>
      </c>
      <c r="G13" s="10"/>
      <c r="H13" s="10"/>
      <c r="I13" s="8"/>
      <c r="J13" s="12"/>
    </row>
    <row r="14">
      <c r="A14" s="8">
        <v>16.0</v>
      </c>
      <c r="B14" s="9">
        <v>1.0E8</v>
      </c>
      <c r="C14" s="10">
        <v>0.1975884435</v>
      </c>
      <c r="D14" s="11">
        <v>0.882082370763333</v>
      </c>
      <c r="E14" s="12">
        <f t="shared" si="1"/>
        <v>0.000111100962</v>
      </c>
      <c r="G14" s="10"/>
      <c r="H14" s="10"/>
      <c r="I14" s="8"/>
      <c r="J14" s="12"/>
    </row>
    <row r="15">
      <c r="A15" s="8">
        <v>16.0</v>
      </c>
      <c r="B15" s="9">
        <v>1.0E9</v>
      </c>
      <c r="C15" s="10">
        <v>1.926481137</v>
      </c>
      <c r="D15" s="11">
        <v>0.882086358076667</v>
      </c>
      <c r="E15" s="12">
        <f t="shared" si="1"/>
        <v>0.0005631355901</v>
      </c>
      <c r="G15" s="10"/>
      <c r="H15" s="10"/>
      <c r="I15" s="8"/>
      <c r="J15" s="12"/>
    </row>
    <row r="18">
      <c r="A18" s="5" t="s">
        <v>11</v>
      </c>
      <c r="G18" s="5"/>
    </row>
    <row r="19" ht="31.5" customHeight="1">
      <c r="A19" s="6" t="s">
        <v>6</v>
      </c>
      <c r="B19" s="6" t="s">
        <v>7</v>
      </c>
      <c r="C19" s="6" t="s">
        <v>8</v>
      </c>
      <c r="D19" s="6" t="s">
        <v>9</v>
      </c>
      <c r="E19" s="6" t="s">
        <v>10</v>
      </c>
      <c r="G19" s="7"/>
      <c r="H19" s="7"/>
      <c r="I19" s="7"/>
      <c r="J19" s="7"/>
    </row>
    <row r="20">
      <c r="A20" s="8">
        <v>16.0</v>
      </c>
      <c r="B20" s="9">
        <v>1000.0</v>
      </c>
      <c r="C20" s="10">
        <v>4.2024E-5</v>
      </c>
      <c r="D20" s="11">
        <v>0.813882035916667</v>
      </c>
      <c r="E20" s="12">
        <f t="shared" ref="E20:E26" si="2">ABS(D20-$D$5)/$D$5*100</f>
        <v>1.131437945</v>
      </c>
      <c r="G20" s="10"/>
      <c r="H20" s="10"/>
      <c r="I20" s="8"/>
      <c r="J20" s="12"/>
    </row>
    <row r="21" ht="15.75" customHeight="1">
      <c r="A21" s="8">
        <v>16.0</v>
      </c>
      <c r="B21" s="9">
        <v>10000.0</v>
      </c>
      <c r="C21" s="10">
        <v>8.46595E-5</v>
      </c>
      <c r="D21" s="11">
        <v>0.80325665994</v>
      </c>
      <c r="E21" s="12">
        <f t="shared" si="2"/>
        <v>0.1888511188</v>
      </c>
      <c r="G21" s="10"/>
      <c r="H21" s="10"/>
      <c r="I21" s="8"/>
      <c r="J21" s="12"/>
    </row>
    <row r="22" ht="15.75" customHeight="1">
      <c r="A22" s="8">
        <v>16.0</v>
      </c>
      <c r="B22" s="9">
        <v>100000.0</v>
      </c>
      <c r="C22" s="10">
        <v>4.13574E-4</v>
      </c>
      <c r="D22" s="11">
        <v>0.804332280406667</v>
      </c>
      <c r="E22" s="12">
        <f t="shared" si="2"/>
        <v>0.05519655991</v>
      </c>
      <c r="G22" s="10"/>
      <c r="H22" s="10"/>
      <c r="I22" s="8"/>
      <c r="J22" s="12"/>
    </row>
    <row r="23" ht="15.75" customHeight="1">
      <c r="A23" s="8">
        <v>16.0</v>
      </c>
      <c r="B23" s="9">
        <v>1000000.0</v>
      </c>
      <c r="C23" s="10">
        <v>0.0052498325</v>
      </c>
      <c r="D23" s="11">
        <v>0.804918972283333</v>
      </c>
      <c r="E23" s="12">
        <f t="shared" si="2"/>
        <v>0.0177046598</v>
      </c>
      <c r="G23" s="10"/>
      <c r="H23" s="10"/>
      <c r="I23" s="8"/>
      <c r="J23" s="12"/>
    </row>
    <row r="24" ht="15.75" customHeight="1">
      <c r="A24" s="8">
        <v>16.0</v>
      </c>
      <c r="B24" s="9">
        <v>1.0E7</v>
      </c>
      <c r="C24" s="10">
        <v>0.0343642775</v>
      </c>
      <c r="D24" s="11">
        <v>0.80480569369</v>
      </c>
      <c r="E24" s="12">
        <f t="shared" si="2"/>
        <v>0.003628876667</v>
      </c>
      <c r="G24" s="10"/>
      <c r="H24" s="10"/>
      <c r="I24" s="8"/>
      <c r="J24" s="12"/>
    </row>
    <row r="25" ht="15.75" customHeight="1">
      <c r="A25" s="8">
        <v>16.0</v>
      </c>
      <c r="B25" s="9">
        <v>1.0E8</v>
      </c>
      <c r="C25" s="10">
        <v>0.3407978175</v>
      </c>
      <c r="D25" s="11">
        <v>0.804779385693333</v>
      </c>
      <c r="E25" s="12">
        <f t="shared" si="2"/>
        <v>0.0003598949044</v>
      </c>
      <c r="G25" s="10"/>
      <c r="H25" s="10"/>
      <c r="I25" s="8"/>
      <c r="J25" s="12"/>
    </row>
    <row r="26" ht="15.75" customHeight="1">
      <c r="A26" s="8">
        <v>16.0</v>
      </c>
      <c r="B26" s="9">
        <v>1.0E9</v>
      </c>
      <c r="C26" s="10">
        <v>3.4294838255</v>
      </c>
      <c r="D26" s="11">
        <v>0.80477712385</v>
      </c>
      <c r="E26" s="12">
        <f t="shared" si="2"/>
        <v>0.00007884254229</v>
      </c>
      <c r="G26" s="10"/>
      <c r="H26" s="10"/>
      <c r="I26" s="8"/>
      <c r="J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4.0"/>
    <col customWidth="1" min="4" max="4" width="17.0"/>
    <col customWidth="1" min="5" max="6" width="12.0"/>
    <col customWidth="1" min="7" max="26" width="8.71"/>
  </cols>
  <sheetData>
    <row r="1">
      <c r="A1" s="1" t="s">
        <v>17</v>
      </c>
    </row>
    <row r="2">
      <c r="A2" s="2"/>
    </row>
    <row r="4">
      <c r="A4" s="5" t="s">
        <v>5</v>
      </c>
    </row>
    <row r="5" ht="31.5" customHeight="1">
      <c r="A5" s="6" t="s">
        <v>6</v>
      </c>
      <c r="B5" s="6" t="s">
        <v>7</v>
      </c>
      <c r="C5" s="6" t="s">
        <v>8</v>
      </c>
      <c r="D5" s="6" t="s">
        <v>9</v>
      </c>
      <c r="E5" s="6" t="s">
        <v>18</v>
      </c>
      <c r="F5" s="6" t="s">
        <v>19</v>
      </c>
    </row>
    <row r="6">
      <c r="A6" s="8">
        <v>1.0</v>
      </c>
      <c r="B6" s="9">
        <v>1000.0</v>
      </c>
      <c r="C6" s="10">
        <v>9.753E-6</v>
      </c>
      <c r="D6" s="11">
        <v>0.89250459743</v>
      </c>
      <c r="E6" s="13">
        <f t="shared" ref="E6:E11" si="1">$C$6/C6</f>
        <v>1</v>
      </c>
      <c r="F6" s="14">
        <f t="shared" ref="F6:F11" si="2">E6/A6</f>
        <v>1</v>
      </c>
    </row>
    <row r="7">
      <c r="A7" s="8">
        <v>2.0</v>
      </c>
      <c r="B7" s="9">
        <v>1000.0</v>
      </c>
      <c r="C7" s="10">
        <v>6.207E-6</v>
      </c>
      <c r="D7" s="11">
        <v>0.885919612453333</v>
      </c>
      <c r="E7" s="13">
        <f t="shared" si="1"/>
        <v>1.571290478</v>
      </c>
      <c r="F7" s="14">
        <f t="shared" si="2"/>
        <v>0.7856452392</v>
      </c>
    </row>
    <row r="8">
      <c r="A8" s="8">
        <v>4.0</v>
      </c>
      <c r="B8" s="9">
        <v>1000.0</v>
      </c>
      <c r="C8" s="10">
        <v>6.006E-6</v>
      </c>
      <c r="D8" s="11">
        <v>0.879784256686667</v>
      </c>
      <c r="E8" s="13">
        <f t="shared" si="1"/>
        <v>1.623876124</v>
      </c>
      <c r="F8" s="14">
        <f t="shared" si="2"/>
        <v>0.405969031</v>
      </c>
    </row>
    <row r="9">
      <c r="A9" s="8">
        <v>8.0</v>
      </c>
      <c r="B9" s="9">
        <v>1000.0</v>
      </c>
      <c r="C9" s="10">
        <v>1.2118E-5</v>
      </c>
      <c r="D9" s="11">
        <v>0.877344684923333</v>
      </c>
      <c r="E9" s="13">
        <f t="shared" si="1"/>
        <v>0.8048357815</v>
      </c>
      <c r="F9" s="14">
        <f t="shared" si="2"/>
        <v>0.1006044727</v>
      </c>
    </row>
    <row r="10">
      <c r="A10" s="8">
        <v>12.0</v>
      </c>
      <c r="B10" s="9">
        <v>1000.0</v>
      </c>
      <c r="C10" s="10">
        <v>2.00375E-5</v>
      </c>
      <c r="D10" s="11">
        <v>0.890762306336667</v>
      </c>
      <c r="E10" s="13">
        <f t="shared" si="1"/>
        <v>0.4867373674</v>
      </c>
      <c r="F10" s="14">
        <f t="shared" si="2"/>
        <v>0.04056144729</v>
      </c>
    </row>
    <row r="11">
      <c r="A11" s="8">
        <v>16.0</v>
      </c>
      <c r="B11" s="9">
        <v>1000.0</v>
      </c>
      <c r="C11" s="10">
        <v>3.967E-5</v>
      </c>
      <c r="D11" s="11">
        <v>0.888048520996667</v>
      </c>
      <c r="E11" s="13">
        <f t="shared" si="1"/>
        <v>0.2458532896</v>
      </c>
      <c r="F11" s="14">
        <f t="shared" si="2"/>
        <v>0.0153658306</v>
      </c>
    </row>
    <row r="14">
      <c r="A14" s="5" t="s">
        <v>11</v>
      </c>
    </row>
    <row r="15">
      <c r="A15" s="6" t="s">
        <v>6</v>
      </c>
      <c r="B15" s="6" t="s">
        <v>7</v>
      </c>
      <c r="C15" s="6" t="s">
        <v>8</v>
      </c>
      <c r="D15" s="6" t="s">
        <v>9</v>
      </c>
      <c r="E15" s="6" t="s">
        <v>18</v>
      </c>
      <c r="F15" s="6" t="s">
        <v>19</v>
      </c>
    </row>
    <row r="16">
      <c r="A16" s="8">
        <v>1.0</v>
      </c>
      <c r="B16" s="9">
        <v>1000.0</v>
      </c>
      <c r="C16" s="10">
        <v>2.97905E-5</v>
      </c>
      <c r="D16" s="11">
        <v>0.810458983516667</v>
      </c>
      <c r="E16" s="13">
        <f t="shared" ref="E16:E21" si="3">$C$16/C16</f>
        <v>1</v>
      </c>
      <c r="F16" s="14">
        <f t="shared" ref="F16:F21" si="4">E16/A16</f>
        <v>1</v>
      </c>
    </row>
    <row r="17">
      <c r="A17" s="8">
        <v>2.0</v>
      </c>
      <c r="B17" s="9">
        <v>1000.0</v>
      </c>
      <c r="C17" s="10">
        <v>1.84645E-5</v>
      </c>
      <c r="D17" s="11">
        <v>0.806741975793333</v>
      </c>
      <c r="E17" s="13">
        <f t="shared" si="3"/>
        <v>1.613393268</v>
      </c>
      <c r="F17" s="14">
        <f t="shared" si="4"/>
        <v>0.8066966341</v>
      </c>
    </row>
    <row r="18">
      <c r="A18" s="8">
        <v>4.0</v>
      </c>
      <c r="B18" s="9">
        <v>1000.0</v>
      </c>
      <c r="C18" s="10">
        <v>1.375E-5</v>
      </c>
      <c r="D18" s="11">
        <v>0.801775560206667</v>
      </c>
      <c r="E18" s="13">
        <f t="shared" si="3"/>
        <v>2.166581818</v>
      </c>
      <c r="F18" s="14">
        <f t="shared" si="4"/>
        <v>0.5416454545</v>
      </c>
    </row>
    <row r="19">
      <c r="A19" s="8">
        <v>8.0</v>
      </c>
      <c r="B19" s="9">
        <v>1000.0</v>
      </c>
      <c r="C19" s="10">
        <v>1.68615E-5</v>
      </c>
      <c r="D19" s="11">
        <v>0.803878902656667</v>
      </c>
      <c r="E19" s="13">
        <f t="shared" si="3"/>
        <v>1.766776384</v>
      </c>
      <c r="F19" s="14">
        <f t="shared" si="4"/>
        <v>0.220847048</v>
      </c>
    </row>
    <row r="20">
      <c r="A20" s="8">
        <v>12.0</v>
      </c>
      <c r="B20" s="9">
        <v>1000.0</v>
      </c>
      <c r="C20" s="10">
        <v>2.08645E-5</v>
      </c>
      <c r="D20" s="11">
        <v>0.795924624883333</v>
      </c>
      <c r="E20" s="13">
        <f t="shared" si="3"/>
        <v>1.427807999</v>
      </c>
      <c r="F20" s="14">
        <f t="shared" si="4"/>
        <v>0.1189839999</v>
      </c>
    </row>
    <row r="21" ht="15.75" customHeight="1">
      <c r="A21" s="8">
        <v>16.0</v>
      </c>
      <c r="B21" s="9">
        <v>1000.0</v>
      </c>
      <c r="C21" s="10">
        <v>4.2024E-5</v>
      </c>
      <c r="D21" s="11">
        <v>0.813882035916667</v>
      </c>
      <c r="E21" s="13">
        <f t="shared" si="3"/>
        <v>0.7088925376</v>
      </c>
      <c r="F21" s="14">
        <f t="shared" si="4"/>
        <v>0.0443057836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4.0"/>
    <col customWidth="1" min="4" max="4" width="17.0"/>
    <col customWidth="1" min="5" max="6" width="12.0"/>
    <col customWidth="1" min="7" max="26" width="8.71"/>
  </cols>
  <sheetData>
    <row r="1">
      <c r="A1" s="1" t="s">
        <v>20</v>
      </c>
    </row>
    <row r="2">
      <c r="A2" s="2"/>
    </row>
    <row r="4">
      <c r="A4" s="5" t="s">
        <v>5</v>
      </c>
    </row>
    <row r="5" ht="31.5" customHeight="1">
      <c r="A5" s="6" t="s">
        <v>6</v>
      </c>
      <c r="B5" s="6" t="s">
        <v>7</v>
      </c>
      <c r="C5" s="6" t="s">
        <v>8</v>
      </c>
      <c r="D5" s="6" t="s">
        <v>9</v>
      </c>
      <c r="E5" s="6" t="s">
        <v>18</v>
      </c>
      <c r="F5" s="6" t="s">
        <v>19</v>
      </c>
    </row>
    <row r="6">
      <c r="A6" s="8">
        <v>1.0</v>
      </c>
      <c r="B6" s="9">
        <v>10000.0</v>
      </c>
      <c r="C6" s="10">
        <v>9.5374E-5</v>
      </c>
      <c r="D6" s="11">
        <v>0.88450553738</v>
      </c>
      <c r="E6" s="13">
        <f t="shared" ref="E6:E11" si="1">$C$6/C6</f>
        <v>1</v>
      </c>
      <c r="F6" s="14">
        <f t="shared" ref="F6:F11" si="2">E6/A6</f>
        <v>1</v>
      </c>
    </row>
    <row r="7">
      <c r="A7" s="8">
        <v>2.0</v>
      </c>
      <c r="B7" s="9">
        <v>10000.0</v>
      </c>
      <c r="C7" s="10">
        <v>4.9603E-5</v>
      </c>
      <c r="D7" s="11">
        <v>0.881815890516667</v>
      </c>
      <c r="E7" s="13">
        <f t="shared" si="1"/>
        <v>1.922746608</v>
      </c>
      <c r="F7" s="14">
        <f t="shared" si="2"/>
        <v>0.961373304</v>
      </c>
    </row>
    <row r="8">
      <c r="A8" s="8">
        <v>4.0</v>
      </c>
      <c r="B8" s="9">
        <v>10000.0</v>
      </c>
      <c r="C8" s="10">
        <v>3.12935E-5</v>
      </c>
      <c r="D8" s="11">
        <v>0.881980369853333</v>
      </c>
      <c r="E8" s="13">
        <f t="shared" si="1"/>
        <v>3.047725566</v>
      </c>
      <c r="F8" s="14">
        <f t="shared" si="2"/>
        <v>0.7619313915</v>
      </c>
    </row>
    <row r="9">
      <c r="A9" s="8">
        <v>8.0</v>
      </c>
      <c r="B9" s="9">
        <v>10000.0</v>
      </c>
      <c r="C9" s="10">
        <v>2.2953E-5</v>
      </c>
      <c r="D9" s="11">
        <v>0.881299878643333</v>
      </c>
      <c r="E9" s="13">
        <f t="shared" si="1"/>
        <v>4.155186686</v>
      </c>
      <c r="F9" s="14">
        <f t="shared" si="2"/>
        <v>0.5193983357</v>
      </c>
    </row>
    <row r="10">
      <c r="A10" s="8">
        <v>12.0</v>
      </c>
      <c r="B10" s="9">
        <v>10000.0</v>
      </c>
      <c r="C10" s="10">
        <v>3.78815E-5</v>
      </c>
      <c r="D10" s="11">
        <v>0.882012644136667</v>
      </c>
      <c r="E10" s="13">
        <f t="shared" si="1"/>
        <v>2.517693333</v>
      </c>
      <c r="F10" s="14">
        <f t="shared" si="2"/>
        <v>0.2098077778</v>
      </c>
    </row>
    <row r="11">
      <c r="A11" s="8">
        <v>16.0</v>
      </c>
      <c r="B11" s="9">
        <v>10000.0</v>
      </c>
      <c r="C11" s="10">
        <v>5.9963E-5</v>
      </c>
      <c r="D11" s="11">
        <v>0.88175597145</v>
      </c>
      <c r="E11" s="13">
        <f t="shared" si="1"/>
        <v>1.590547504</v>
      </c>
      <c r="F11" s="14">
        <f t="shared" si="2"/>
        <v>0.09940921902</v>
      </c>
    </row>
    <row r="14">
      <c r="A14" s="5" t="s">
        <v>11</v>
      </c>
    </row>
    <row r="15">
      <c r="A15" s="6" t="s">
        <v>6</v>
      </c>
      <c r="B15" s="6" t="s">
        <v>7</v>
      </c>
      <c r="C15" s="6" t="s">
        <v>8</v>
      </c>
      <c r="D15" s="6" t="s">
        <v>9</v>
      </c>
      <c r="E15" s="6" t="s">
        <v>18</v>
      </c>
      <c r="F15" s="6" t="s">
        <v>19</v>
      </c>
    </row>
    <row r="16">
      <c r="A16" s="8">
        <v>1.0</v>
      </c>
      <c r="B16" s="9">
        <v>10000.0</v>
      </c>
      <c r="C16" s="10">
        <v>2.52448E-4</v>
      </c>
      <c r="D16" s="11">
        <v>0.806630657896667</v>
      </c>
      <c r="E16" s="13">
        <f t="shared" ref="E16:E21" si="3">$C$16/C16</f>
        <v>1</v>
      </c>
      <c r="F16" s="14">
        <f t="shared" ref="F16:F21" si="4">E16/A16</f>
        <v>1</v>
      </c>
    </row>
    <row r="17">
      <c r="A17" s="8">
        <v>2.0</v>
      </c>
      <c r="B17" s="9">
        <v>10000.0</v>
      </c>
      <c r="C17" s="10">
        <v>1.31291E-4</v>
      </c>
      <c r="D17" s="11">
        <v>0.805873331946666</v>
      </c>
      <c r="E17" s="13">
        <f t="shared" si="3"/>
        <v>1.922812683</v>
      </c>
      <c r="F17" s="14">
        <f t="shared" si="4"/>
        <v>0.9614063416</v>
      </c>
    </row>
    <row r="18">
      <c r="A18" s="8">
        <v>4.0</v>
      </c>
      <c r="B18" s="9">
        <v>10000.0</v>
      </c>
      <c r="C18" s="10">
        <v>7.25205E-5</v>
      </c>
      <c r="D18" s="11">
        <v>0.80407799217</v>
      </c>
      <c r="E18" s="13">
        <f t="shared" si="3"/>
        <v>3.48105708</v>
      </c>
      <c r="F18" s="14">
        <f t="shared" si="4"/>
        <v>0.8702642701</v>
      </c>
    </row>
    <row r="19">
      <c r="A19" s="8">
        <v>8.0</v>
      </c>
      <c r="B19" s="9">
        <v>10000.0</v>
      </c>
      <c r="C19" s="10">
        <v>5.19075E-5</v>
      </c>
      <c r="D19" s="11">
        <v>0.804897336126667</v>
      </c>
      <c r="E19" s="13">
        <f t="shared" si="3"/>
        <v>4.863420508</v>
      </c>
      <c r="F19" s="14">
        <f t="shared" si="4"/>
        <v>0.6079275635</v>
      </c>
    </row>
    <row r="20">
      <c r="A20" s="8">
        <v>12.0</v>
      </c>
      <c r="B20" s="9">
        <v>10000.0</v>
      </c>
      <c r="C20" s="10">
        <v>5.45175E-5</v>
      </c>
      <c r="D20" s="11">
        <v>0.803550971193333</v>
      </c>
      <c r="E20" s="13">
        <f t="shared" si="3"/>
        <v>4.630586509</v>
      </c>
      <c r="F20" s="14">
        <f t="shared" si="4"/>
        <v>0.3858822091</v>
      </c>
    </row>
    <row r="21" ht="15.75" customHeight="1">
      <c r="A21" s="8">
        <v>16.0</v>
      </c>
      <c r="B21" s="9">
        <v>10000.0</v>
      </c>
      <c r="C21" s="10">
        <v>8.46595E-5</v>
      </c>
      <c r="D21" s="11">
        <v>0.80325665994</v>
      </c>
      <c r="E21" s="13">
        <f t="shared" si="3"/>
        <v>2.981921698</v>
      </c>
      <c r="F21" s="14">
        <f t="shared" si="4"/>
        <v>0.1863701061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4.0"/>
    <col customWidth="1" min="4" max="4" width="17.0"/>
    <col customWidth="1" min="5" max="6" width="12.0"/>
    <col customWidth="1" min="7" max="26" width="8.71"/>
  </cols>
  <sheetData>
    <row r="1">
      <c r="A1" s="1" t="s">
        <v>21</v>
      </c>
    </row>
    <row r="2">
      <c r="A2" s="2"/>
    </row>
    <row r="4">
      <c r="A4" s="5" t="s">
        <v>5</v>
      </c>
    </row>
    <row r="5" ht="31.5" customHeight="1">
      <c r="A5" s="6" t="s">
        <v>6</v>
      </c>
      <c r="B5" s="6" t="s">
        <v>7</v>
      </c>
      <c r="C5" s="6" t="s">
        <v>8</v>
      </c>
      <c r="D5" s="6" t="s">
        <v>9</v>
      </c>
      <c r="E5" s="6" t="s">
        <v>18</v>
      </c>
      <c r="F5" s="6" t="s">
        <v>19</v>
      </c>
    </row>
    <row r="6">
      <c r="A6" s="8">
        <v>1.0</v>
      </c>
      <c r="B6" s="9">
        <v>100000.0</v>
      </c>
      <c r="C6" s="10">
        <v>9.960815E-4</v>
      </c>
      <c r="D6" s="11">
        <v>0.882277645996667</v>
      </c>
      <c r="E6" s="13">
        <f t="shared" ref="E6:E11" si="1">$C$6/C6</f>
        <v>1</v>
      </c>
      <c r="F6" s="14">
        <f t="shared" ref="F6:F11" si="2">E6/A6</f>
        <v>1</v>
      </c>
    </row>
    <row r="7">
      <c r="A7" s="8">
        <v>2.0</v>
      </c>
      <c r="B7" s="9">
        <v>100000.0</v>
      </c>
      <c r="C7" s="10">
        <v>4.86383E-4</v>
      </c>
      <c r="D7" s="11">
        <v>0.881494236103334</v>
      </c>
      <c r="E7" s="13">
        <f t="shared" si="1"/>
        <v>2.047936503</v>
      </c>
      <c r="F7" s="14">
        <f t="shared" si="2"/>
        <v>1.023968251</v>
      </c>
    </row>
    <row r="8">
      <c r="A8" s="8">
        <v>4.0</v>
      </c>
      <c r="B8" s="9">
        <v>100000.0</v>
      </c>
      <c r="C8" s="10">
        <v>2.84945E-4</v>
      </c>
      <c r="D8" s="11">
        <v>0.882147092343333</v>
      </c>
      <c r="E8" s="13">
        <f t="shared" si="1"/>
        <v>3.495697415</v>
      </c>
      <c r="F8" s="14">
        <f t="shared" si="2"/>
        <v>0.8739243538</v>
      </c>
    </row>
    <row r="9">
      <c r="A9" s="8">
        <v>8.0</v>
      </c>
      <c r="B9" s="9">
        <v>100000.0</v>
      </c>
      <c r="C9" s="10">
        <v>1.692275E-4</v>
      </c>
      <c r="D9" s="11">
        <v>0.88212153485</v>
      </c>
      <c r="E9" s="13">
        <f t="shared" si="1"/>
        <v>5.886049844</v>
      </c>
      <c r="F9" s="14">
        <f t="shared" si="2"/>
        <v>0.7357562305</v>
      </c>
    </row>
    <row r="10">
      <c r="A10" s="8">
        <v>12.0</v>
      </c>
      <c r="B10" s="9">
        <v>100000.0</v>
      </c>
      <c r="C10" s="10">
        <v>2.69222E-4</v>
      </c>
      <c r="D10" s="11">
        <v>0.882202336846667</v>
      </c>
      <c r="E10" s="13">
        <f t="shared" si="1"/>
        <v>3.699851795</v>
      </c>
      <c r="F10" s="14">
        <f t="shared" si="2"/>
        <v>0.3083209829</v>
      </c>
    </row>
    <row r="11">
      <c r="A11" s="8">
        <v>16.0</v>
      </c>
      <c r="B11" s="9">
        <v>100000.0</v>
      </c>
      <c r="C11" s="10">
        <v>3.39279E-4</v>
      </c>
      <c r="D11" s="11">
        <v>0.88238759843</v>
      </c>
      <c r="E11" s="13">
        <f t="shared" si="1"/>
        <v>2.935877257</v>
      </c>
      <c r="F11" s="14">
        <f t="shared" si="2"/>
        <v>0.1834923286</v>
      </c>
    </row>
    <row r="14">
      <c r="A14" s="5" t="s">
        <v>11</v>
      </c>
    </row>
    <row r="15">
      <c r="A15" s="6" t="s">
        <v>6</v>
      </c>
      <c r="B15" s="6" t="s">
        <v>7</v>
      </c>
      <c r="C15" s="6" t="s">
        <v>8</v>
      </c>
      <c r="D15" s="6" t="s">
        <v>9</v>
      </c>
      <c r="E15" s="6" t="s">
        <v>18</v>
      </c>
      <c r="F15" s="6" t="s">
        <v>19</v>
      </c>
    </row>
    <row r="16">
      <c r="A16" s="8">
        <v>1.0</v>
      </c>
      <c r="B16" s="9">
        <v>100000.0</v>
      </c>
      <c r="C16" s="10">
        <v>0.0026000215</v>
      </c>
      <c r="D16" s="11">
        <v>0.805037256213333</v>
      </c>
      <c r="E16" s="13">
        <f t="shared" ref="E16:E21" si="3">$C$16/C16</f>
        <v>1</v>
      </c>
      <c r="F16" s="14">
        <f t="shared" ref="F16:F21" si="4">E16/A16</f>
        <v>1</v>
      </c>
    </row>
    <row r="17">
      <c r="A17" s="8">
        <v>2.0</v>
      </c>
      <c r="B17" s="9">
        <v>100000.0</v>
      </c>
      <c r="C17" s="10">
        <v>0.0012920685</v>
      </c>
      <c r="D17" s="11">
        <v>0.804259890106667</v>
      </c>
      <c r="E17" s="13">
        <f t="shared" si="3"/>
        <v>2.012293853</v>
      </c>
      <c r="F17" s="14">
        <f t="shared" si="4"/>
        <v>1.006146926</v>
      </c>
    </row>
    <row r="18">
      <c r="A18" s="8">
        <v>4.0</v>
      </c>
      <c r="B18" s="9">
        <v>100000.0</v>
      </c>
      <c r="C18" s="10">
        <v>7.347535E-4</v>
      </c>
      <c r="D18" s="11">
        <v>0.804527086043333</v>
      </c>
      <c r="E18" s="13">
        <f t="shared" si="3"/>
        <v>3.538630983</v>
      </c>
      <c r="F18" s="14">
        <f t="shared" si="4"/>
        <v>0.8846577458</v>
      </c>
    </row>
    <row r="19">
      <c r="A19" s="8">
        <v>8.0</v>
      </c>
      <c r="B19" s="9">
        <v>100000.0</v>
      </c>
      <c r="C19" s="10">
        <v>4.00727E-4</v>
      </c>
      <c r="D19" s="11">
        <v>0.80512496379</v>
      </c>
      <c r="E19" s="13">
        <f t="shared" si="3"/>
        <v>6.488261335</v>
      </c>
      <c r="F19" s="14">
        <f t="shared" si="4"/>
        <v>0.8110326669</v>
      </c>
    </row>
    <row r="20">
      <c r="A20" s="8">
        <v>12.0</v>
      </c>
      <c r="B20" s="9">
        <v>100000.0</v>
      </c>
      <c r="C20" s="10">
        <v>5.10431E-4</v>
      </c>
      <c r="D20" s="11">
        <v>0.804120435813333</v>
      </c>
      <c r="E20" s="13">
        <f t="shared" si="3"/>
        <v>5.093776632</v>
      </c>
      <c r="F20" s="14">
        <f t="shared" si="4"/>
        <v>0.424481386</v>
      </c>
    </row>
    <row r="21" ht="15.75" customHeight="1">
      <c r="A21" s="8">
        <v>16.0</v>
      </c>
      <c r="B21" s="9">
        <v>100000.0</v>
      </c>
      <c r="C21" s="10">
        <v>4.13574E-4</v>
      </c>
      <c r="D21" s="11">
        <v>0.804332280406667</v>
      </c>
      <c r="E21" s="13">
        <f t="shared" si="3"/>
        <v>6.286714107</v>
      </c>
      <c r="F21" s="14">
        <f t="shared" si="4"/>
        <v>0.3929196317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4.0"/>
    <col customWidth="1" min="4" max="4" width="17.0"/>
    <col customWidth="1" min="5" max="6" width="12.0"/>
    <col customWidth="1" min="7" max="26" width="8.71"/>
  </cols>
  <sheetData>
    <row r="1">
      <c r="A1" s="1" t="s">
        <v>22</v>
      </c>
    </row>
    <row r="2">
      <c r="A2" s="2"/>
    </row>
    <row r="4">
      <c r="A4" s="5" t="s">
        <v>5</v>
      </c>
    </row>
    <row r="5" ht="31.5" customHeight="1">
      <c r="A5" s="6" t="s">
        <v>6</v>
      </c>
      <c r="B5" s="6" t="s">
        <v>7</v>
      </c>
      <c r="C5" s="6" t="s">
        <v>8</v>
      </c>
      <c r="D5" s="6" t="s">
        <v>9</v>
      </c>
      <c r="E5" s="6" t="s">
        <v>18</v>
      </c>
      <c r="F5" s="6" t="s">
        <v>19</v>
      </c>
    </row>
    <row r="6">
      <c r="A6" s="8">
        <v>1.0</v>
      </c>
      <c r="B6" s="9">
        <v>1000000.0</v>
      </c>
      <c r="C6" s="10">
        <v>0.0096374035</v>
      </c>
      <c r="D6" s="11">
        <v>0.882255786706667</v>
      </c>
      <c r="E6" s="13">
        <f t="shared" ref="E6:E11" si="1">$C$6/C6</f>
        <v>1</v>
      </c>
      <c r="F6" s="14">
        <f t="shared" ref="F6:F11" si="2">E6/A6</f>
        <v>1</v>
      </c>
    </row>
    <row r="7">
      <c r="A7" s="8">
        <v>2.0</v>
      </c>
      <c r="B7" s="9">
        <v>1000000.0</v>
      </c>
      <c r="C7" s="10">
        <v>0.004922515</v>
      </c>
      <c r="D7" s="11">
        <v>0.882073861953334</v>
      </c>
      <c r="E7" s="13">
        <f t="shared" si="1"/>
        <v>1.957821053</v>
      </c>
      <c r="F7" s="14">
        <f t="shared" si="2"/>
        <v>0.9789105264</v>
      </c>
    </row>
    <row r="8">
      <c r="A8" s="8">
        <v>4.0</v>
      </c>
      <c r="B8" s="9">
        <v>1000000.0</v>
      </c>
      <c r="C8" s="10">
        <v>0.002800879</v>
      </c>
      <c r="D8" s="11">
        <v>0.882096102283333</v>
      </c>
      <c r="E8" s="13">
        <f t="shared" si="1"/>
        <v>3.44084964</v>
      </c>
      <c r="F8" s="14">
        <f t="shared" si="2"/>
        <v>0.8602124101</v>
      </c>
    </row>
    <row r="9">
      <c r="A9" s="8">
        <v>8.0</v>
      </c>
      <c r="B9" s="9">
        <v>1000000.0</v>
      </c>
      <c r="C9" s="10">
        <v>0.0018756085</v>
      </c>
      <c r="D9" s="11">
        <v>0.88201893805</v>
      </c>
      <c r="E9" s="13">
        <f t="shared" si="1"/>
        <v>5.13828099</v>
      </c>
      <c r="F9" s="14">
        <f t="shared" si="2"/>
        <v>0.6422851237</v>
      </c>
    </row>
    <row r="10">
      <c r="A10" s="8">
        <v>12.0</v>
      </c>
      <c r="B10" s="9">
        <v>1000000.0</v>
      </c>
      <c r="C10" s="10">
        <v>0.002615716</v>
      </c>
      <c r="D10" s="11">
        <v>0.881968204596667</v>
      </c>
      <c r="E10" s="13">
        <f t="shared" si="1"/>
        <v>3.684422735</v>
      </c>
      <c r="F10" s="14">
        <f t="shared" si="2"/>
        <v>0.307035228</v>
      </c>
    </row>
    <row r="11">
      <c r="A11" s="8">
        <v>16.0</v>
      </c>
      <c r="B11" s="9">
        <v>1000000.0</v>
      </c>
      <c r="C11" s="10">
        <v>0.0030407415</v>
      </c>
      <c r="D11" s="11">
        <v>0.88211124555</v>
      </c>
      <c r="E11" s="13">
        <f t="shared" si="1"/>
        <v>3.169425451</v>
      </c>
      <c r="F11" s="14">
        <f t="shared" si="2"/>
        <v>0.1980890907</v>
      </c>
    </row>
    <row r="14">
      <c r="A14" s="5" t="s">
        <v>11</v>
      </c>
    </row>
    <row r="15">
      <c r="A15" s="6" t="s">
        <v>6</v>
      </c>
      <c r="B15" s="6" t="s">
        <v>7</v>
      </c>
      <c r="C15" s="6" t="s">
        <v>8</v>
      </c>
      <c r="D15" s="6" t="s">
        <v>9</v>
      </c>
      <c r="E15" s="6" t="s">
        <v>18</v>
      </c>
      <c r="F15" s="6" t="s">
        <v>19</v>
      </c>
    </row>
    <row r="16">
      <c r="A16" s="8">
        <v>1.0</v>
      </c>
      <c r="B16" s="9">
        <v>1000000.0</v>
      </c>
      <c r="C16" s="10">
        <v>0.0258490415</v>
      </c>
      <c r="D16" s="11">
        <v>0.804695487986667</v>
      </c>
      <c r="E16" s="13">
        <f t="shared" ref="E16:E21" si="3">$C$16/C16</f>
        <v>1</v>
      </c>
      <c r="F16" s="14">
        <f t="shared" ref="F16:F21" si="4">E16/A16</f>
        <v>1</v>
      </c>
    </row>
    <row r="17">
      <c r="A17" s="8">
        <v>2.0</v>
      </c>
      <c r="B17" s="9">
        <v>1000000.0</v>
      </c>
      <c r="C17" s="10">
        <v>0.013315491</v>
      </c>
      <c r="D17" s="11">
        <v>0.804569924273333</v>
      </c>
      <c r="E17" s="13">
        <f t="shared" si="3"/>
        <v>1.941275879</v>
      </c>
      <c r="F17" s="14">
        <f t="shared" si="4"/>
        <v>0.9706379397</v>
      </c>
    </row>
    <row r="18">
      <c r="A18" s="8">
        <v>4.0</v>
      </c>
      <c r="B18" s="9">
        <v>1000000.0</v>
      </c>
      <c r="C18" s="10">
        <v>0.007331874</v>
      </c>
      <c r="D18" s="11">
        <v>0.804729615993333</v>
      </c>
      <c r="E18" s="13">
        <f t="shared" si="3"/>
        <v>3.525570884</v>
      </c>
      <c r="F18" s="14">
        <f t="shared" si="4"/>
        <v>0.881392721</v>
      </c>
    </row>
    <row r="19">
      <c r="A19" s="8">
        <v>8.0</v>
      </c>
      <c r="B19" s="9">
        <v>1000000.0</v>
      </c>
      <c r="C19" s="10">
        <v>0.004315265</v>
      </c>
      <c r="D19" s="11">
        <v>0.80465435895</v>
      </c>
      <c r="E19" s="13">
        <f t="shared" si="3"/>
        <v>5.990140003</v>
      </c>
      <c r="F19" s="14">
        <f t="shared" si="4"/>
        <v>0.7487675004</v>
      </c>
    </row>
    <row r="20">
      <c r="A20" s="8">
        <v>12.0</v>
      </c>
      <c r="B20" s="9">
        <v>1000000.0</v>
      </c>
      <c r="C20" s="10">
        <v>0.0037130375</v>
      </c>
      <c r="D20" s="11">
        <v>0.804703664513333</v>
      </c>
      <c r="E20" s="13">
        <f t="shared" si="3"/>
        <v>6.961696859</v>
      </c>
      <c r="F20" s="14">
        <f t="shared" si="4"/>
        <v>0.5801414049</v>
      </c>
    </row>
    <row r="21" ht="15.75" customHeight="1">
      <c r="A21" s="8">
        <v>16.0</v>
      </c>
      <c r="B21" s="9">
        <v>1000000.0</v>
      </c>
      <c r="C21" s="10">
        <v>0.0052498325</v>
      </c>
      <c r="D21" s="11">
        <v>0.804918972283333</v>
      </c>
      <c r="E21" s="13">
        <f t="shared" si="3"/>
        <v>4.923784045</v>
      </c>
      <c r="F21" s="14">
        <f t="shared" si="4"/>
        <v>0.3077365028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4.0"/>
    <col customWidth="1" min="4" max="4" width="17.0"/>
    <col customWidth="1" min="5" max="6" width="12.0"/>
    <col customWidth="1" min="7" max="26" width="8.71"/>
  </cols>
  <sheetData>
    <row r="1">
      <c r="A1" s="1" t="s">
        <v>23</v>
      </c>
    </row>
    <row r="2">
      <c r="A2" s="2"/>
    </row>
    <row r="4">
      <c r="A4" s="5" t="s">
        <v>5</v>
      </c>
    </row>
    <row r="5" ht="31.5" customHeight="1">
      <c r="A5" s="6" t="s">
        <v>6</v>
      </c>
      <c r="B5" s="6" t="s">
        <v>7</v>
      </c>
      <c r="C5" s="6" t="s">
        <v>8</v>
      </c>
      <c r="D5" s="6" t="s">
        <v>9</v>
      </c>
      <c r="E5" s="6" t="s">
        <v>18</v>
      </c>
      <c r="F5" s="6" t="s">
        <v>19</v>
      </c>
    </row>
    <row r="6">
      <c r="A6" s="8">
        <v>1.0</v>
      </c>
      <c r="B6" s="9">
        <v>1.0E7</v>
      </c>
      <c r="C6" s="10">
        <v>0.0978941805</v>
      </c>
      <c r="D6" s="11">
        <v>0.88206025834</v>
      </c>
      <c r="E6" s="13">
        <f t="shared" ref="E6:E11" si="1">$C$6/C6</f>
        <v>1</v>
      </c>
      <c r="F6" s="14">
        <f t="shared" ref="F6:F11" si="2">E6/A6</f>
        <v>1</v>
      </c>
    </row>
    <row r="7">
      <c r="A7" s="8">
        <v>2.0</v>
      </c>
      <c r="B7" s="9">
        <v>1.0E7</v>
      </c>
      <c r="C7" s="10">
        <v>0.0498899485</v>
      </c>
      <c r="D7" s="11">
        <v>0.88215437476</v>
      </c>
      <c r="E7" s="13">
        <f t="shared" si="1"/>
        <v>1.962202477</v>
      </c>
      <c r="F7" s="14">
        <f t="shared" si="2"/>
        <v>0.9811012383</v>
      </c>
    </row>
    <row r="8">
      <c r="A8" s="8">
        <v>4.0</v>
      </c>
      <c r="B8" s="9">
        <v>1.0E7</v>
      </c>
      <c r="C8" s="10">
        <v>0.028194386</v>
      </c>
      <c r="D8" s="11">
        <v>0.8820814184</v>
      </c>
      <c r="E8" s="13">
        <f t="shared" si="1"/>
        <v>3.472116062</v>
      </c>
      <c r="F8" s="14">
        <f t="shared" si="2"/>
        <v>0.8680290156</v>
      </c>
    </row>
    <row r="9">
      <c r="A9" s="8">
        <v>8.0</v>
      </c>
      <c r="B9" s="9">
        <v>1.0E7</v>
      </c>
      <c r="C9" s="10">
        <v>0.01646619</v>
      </c>
      <c r="D9" s="11">
        <v>0.88205613243</v>
      </c>
      <c r="E9" s="13">
        <f t="shared" si="1"/>
        <v>5.945162815</v>
      </c>
      <c r="F9" s="14">
        <f t="shared" si="2"/>
        <v>0.7431453519</v>
      </c>
    </row>
    <row r="10">
      <c r="A10" s="8">
        <v>12.0</v>
      </c>
      <c r="B10" s="9">
        <v>1.0E7</v>
      </c>
      <c r="C10" s="10">
        <v>0.020929311</v>
      </c>
      <c r="D10" s="11">
        <v>0.88213444424</v>
      </c>
      <c r="E10" s="13">
        <f t="shared" si="1"/>
        <v>4.677372346</v>
      </c>
      <c r="F10" s="14">
        <f t="shared" si="2"/>
        <v>0.3897810289</v>
      </c>
    </row>
    <row r="11">
      <c r="A11" s="8">
        <v>16.0</v>
      </c>
      <c r="B11" s="9">
        <v>1.0E7</v>
      </c>
      <c r="C11" s="10">
        <v>0.0236251425</v>
      </c>
      <c r="D11" s="11">
        <v>0.882104558933333</v>
      </c>
      <c r="E11" s="13">
        <f t="shared" si="1"/>
        <v>4.143644022</v>
      </c>
      <c r="F11" s="14">
        <f t="shared" si="2"/>
        <v>0.2589777514</v>
      </c>
    </row>
    <row r="14">
      <c r="A14" s="5" t="s">
        <v>11</v>
      </c>
    </row>
    <row r="15">
      <c r="A15" s="6" t="s">
        <v>6</v>
      </c>
      <c r="B15" s="6" t="s">
        <v>7</v>
      </c>
      <c r="C15" s="6" t="s">
        <v>8</v>
      </c>
      <c r="D15" s="6" t="s">
        <v>9</v>
      </c>
      <c r="E15" s="6" t="s">
        <v>18</v>
      </c>
      <c r="F15" s="6" t="s">
        <v>19</v>
      </c>
    </row>
    <row r="16">
      <c r="A16" s="8">
        <v>1.0</v>
      </c>
      <c r="B16" s="9">
        <v>1.0E7</v>
      </c>
      <c r="C16" s="10">
        <v>0.2617349895</v>
      </c>
      <c r="D16" s="11">
        <v>0.804875167103333</v>
      </c>
      <c r="E16" s="13">
        <f t="shared" ref="E16:E21" si="3">$C$16/C16</f>
        <v>1</v>
      </c>
      <c r="F16" s="14">
        <f t="shared" ref="F16:F21" si="4">E16/A16</f>
        <v>1</v>
      </c>
    </row>
    <row r="17">
      <c r="A17" s="8">
        <v>2.0</v>
      </c>
      <c r="B17" s="9">
        <v>1.0E7</v>
      </c>
      <c r="C17" s="10">
        <v>0.1340482975</v>
      </c>
      <c r="D17" s="11">
        <v>0.804735763863333</v>
      </c>
      <c r="E17" s="13">
        <f t="shared" si="3"/>
        <v>1.952542437</v>
      </c>
      <c r="F17" s="14">
        <f t="shared" si="4"/>
        <v>0.9762712186</v>
      </c>
    </row>
    <row r="18">
      <c r="A18" s="8">
        <v>4.0</v>
      </c>
      <c r="B18" s="9">
        <v>1.0E7</v>
      </c>
      <c r="C18" s="10">
        <v>0.0736173885</v>
      </c>
      <c r="D18" s="11">
        <v>0.80478141903</v>
      </c>
      <c r="E18" s="13">
        <f t="shared" si="3"/>
        <v>3.555341949</v>
      </c>
      <c r="F18" s="14">
        <f t="shared" si="4"/>
        <v>0.8888354872</v>
      </c>
    </row>
    <row r="19">
      <c r="A19" s="8">
        <v>8.0</v>
      </c>
      <c r="B19" s="9">
        <v>1.0E7</v>
      </c>
      <c r="C19" s="10">
        <v>0.041627497</v>
      </c>
      <c r="D19" s="11">
        <v>0.804805566476667</v>
      </c>
      <c r="E19" s="13">
        <f t="shared" si="3"/>
        <v>6.287550498</v>
      </c>
      <c r="F19" s="14">
        <f t="shared" si="4"/>
        <v>0.7859438123</v>
      </c>
    </row>
    <row r="20">
      <c r="A20" s="8">
        <v>12.0</v>
      </c>
      <c r="B20" s="9">
        <v>1.0E7</v>
      </c>
      <c r="C20" s="10">
        <v>0.0373310245</v>
      </c>
      <c r="D20" s="11">
        <v>0.80472195423</v>
      </c>
      <c r="E20" s="13">
        <f t="shared" si="3"/>
        <v>7.011192246</v>
      </c>
      <c r="F20" s="14">
        <f t="shared" si="4"/>
        <v>0.5842660205</v>
      </c>
    </row>
    <row r="21" ht="15.75" customHeight="1">
      <c r="A21" s="8">
        <v>16.0</v>
      </c>
      <c r="B21" s="9">
        <v>1.0E7</v>
      </c>
      <c r="C21" s="10">
        <v>0.0343642775</v>
      </c>
      <c r="D21" s="11">
        <v>0.80480569369</v>
      </c>
      <c r="E21" s="13">
        <f t="shared" si="3"/>
        <v>7.616484575</v>
      </c>
      <c r="F21" s="14">
        <f t="shared" si="4"/>
        <v>0.4760302859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4.0"/>
    <col customWidth="1" min="4" max="4" width="17.0"/>
    <col customWidth="1" min="5" max="6" width="12.0"/>
    <col customWidth="1" min="7" max="26" width="8.71"/>
  </cols>
  <sheetData>
    <row r="1">
      <c r="A1" s="1" t="s">
        <v>24</v>
      </c>
    </row>
    <row r="2">
      <c r="A2" s="2"/>
    </row>
    <row r="4">
      <c r="A4" s="5" t="s">
        <v>5</v>
      </c>
    </row>
    <row r="5" ht="31.5" customHeight="1">
      <c r="A5" s="6" t="s">
        <v>6</v>
      </c>
      <c r="B5" s="6" t="s">
        <v>7</v>
      </c>
      <c r="C5" s="6" t="s">
        <v>8</v>
      </c>
      <c r="D5" s="6" t="s">
        <v>9</v>
      </c>
      <c r="E5" s="6" t="s">
        <v>18</v>
      </c>
      <c r="F5" s="6" t="s">
        <v>19</v>
      </c>
    </row>
    <row r="6">
      <c r="A6" s="8">
        <v>1.0</v>
      </c>
      <c r="B6" s="9">
        <v>1.0E8</v>
      </c>
      <c r="C6" s="10">
        <v>1.006344502</v>
      </c>
      <c r="D6" s="11">
        <v>0.882059219493333</v>
      </c>
      <c r="E6" s="13">
        <f t="shared" ref="E6:E11" si="1">$C$6/C6</f>
        <v>1</v>
      </c>
      <c r="F6" s="14">
        <f t="shared" ref="F6:F11" si="2">E6/A6</f>
        <v>1</v>
      </c>
    </row>
    <row r="7">
      <c r="A7" s="8">
        <v>2.0</v>
      </c>
      <c r="B7" s="9">
        <v>1.0E8</v>
      </c>
      <c r="C7" s="10">
        <v>0.5211327695</v>
      </c>
      <c r="D7" s="11">
        <v>0.882090329793333</v>
      </c>
      <c r="E7" s="13">
        <f t="shared" si="1"/>
        <v>1.931071237</v>
      </c>
      <c r="F7" s="14">
        <f t="shared" si="2"/>
        <v>0.9655356187</v>
      </c>
    </row>
    <row r="8">
      <c r="A8" s="8">
        <v>4.0</v>
      </c>
      <c r="B8" s="9">
        <v>1.0E8</v>
      </c>
      <c r="C8" s="10">
        <v>0.292391606</v>
      </c>
      <c r="D8" s="11">
        <v>0.882078730833333</v>
      </c>
      <c r="E8" s="13">
        <f t="shared" si="1"/>
        <v>3.441769467</v>
      </c>
      <c r="F8" s="14">
        <f t="shared" si="2"/>
        <v>0.8604423668</v>
      </c>
    </row>
    <row r="9">
      <c r="A9" s="8">
        <v>8.0</v>
      </c>
      <c r="B9" s="9">
        <v>1.0E8</v>
      </c>
      <c r="C9" s="10">
        <v>0.1644387265</v>
      </c>
      <c r="D9" s="11">
        <v>0.882093696036667</v>
      </c>
      <c r="E9" s="13">
        <f t="shared" si="1"/>
        <v>6.119875308</v>
      </c>
      <c r="F9" s="14">
        <f t="shared" si="2"/>
        <v>0.7649844135</v>
      </c>
    </row>
    <row r="10">
      <c r="A10" s="8">
        <v>12.0</v>
      </c>
      <c r="B10" s="9">
        <v>1.0E8</v>
      </c>
      <c r="C10" s="10">
        <v>0.2058088105</v>
      </c>
      <c r="D10" s="11">
        <v>0.88210706805</v>
      </c>
      <c r="E10" s="13">
        <f t="shared" si="1"/>
        <v>4.889705643</v>
      </c>
      <c r="F10" s="14">
        <f t="shared" si="2"/>
        <v>0.4074754702</v>
      </c>
    </row>
    <row r="11">
      <c r="A11" s="8">
        <v>16.0</v>
      </c>
      <c r="B11" s="9">
        <v>1.0E8</v>
      </c>
      <c r="C11" s="10">
        <v>0.1975884435</v>
      </c>
      <c r="D11" s="11">
        <v>0.882082370763333</v>
      </c>
      <c r="E11" s="13">
        <f t="shared" si="1"/>
        <v>5.093134417</v>
      </c>
      <c r="F11" s="14">
        <f t="shared" si="2"/>
        <v>0.3183209011</v>
      </c>
    </row>
    <row r="14">
      <c r="A14" s="5" t="s">
        <v>11</v>
      </c>
    </row>
    <row r="15">
      <c r="A15" s="6" t="s">
        <v>6</v>
      </c>
      <c r="B15" s="6" t="s">
        <v>7</v>
      </c>
      <c r="C15" s="6" t="s">
        <v>8</v>
      </c>
      <c r="D15" s="6" t="s">
        <v>9</v>
      </c>
      <c r="E15" s="6" t="s">
        <v>18</v>
      </c>
      <c r="F15" s="6" t="s">
        <v>19</v>
      </c>
    </row>
    <row r="16">
      <c r="A16" s="8">
        <v>1.0</v>
      </c>
      <c r="B16" s="9">
        <v>1.0E8</v>
      </c>
      <c r="C16" s="10">
        <v>2.6171326915</v>
      </c>
      <c r="D16" s="11">
        <v>0.80479307173</v>
      </c>
      <c r="E16" s="13">
        <f t="shared" ref="E16:E21" si="3">$C$16/C16</f>
        <v>1</v>
      </c>
      <c r="F16" s="14">
        <f t="shared" ref="F16:F21" si="4">E16/A16</f>
        <v>1</v>
      </c>
    </row>
    <row r="17">
      <c r="A17" s="8">
        <v>2.0</v>
      </c>
      <c r="B17" s="9">
        <v>1.0E8</v>
      </c>
      <c r="C17" s="10">
        <v>1.361864202</v>
      </c>
      <c r="D17" s="11">
        <v>0.804804988333334</v>
      </c>
      <c r="E17" s="13">
        <f t="shared" si="3"/>
        <v>1.92172809</v>
      </c>
      <c r="F17" s="14">
        <f t="shared" si="4"/>
        <v>0.9608640449</v>
      </c>
    </row>
    <row r="18">
      <c r="A18" s="8">
        <v>4.0</v>
      </c>
      <c r="B18" s="9">
        <v>1.0E8</v>
      </c>
      <c r="C18" s="10">
        <v>0.7548879365</v>
      </c>
      <c r="D18" s="11">
        <v>0.804778506566667</v>
      </c>
      <c r="E18" s="13">
        <f t="shared" si="3"/>
        <v>3.466915505</v>
      </c>
      <c r="F18" s="14">
        <f t="shared" si="4"/>
        <v>0.8667288762</v>
      </c>
    </row>
    <row r="19">
      <c r="A19" s="8">
        <v>8.0</v>
      </c>
      <c r="B19" s="9">
        <v>1.0E8</v>
      </c>
      <c r="C19" s="10">
        <v>0.4278931525</v>
      </c>
      <c r="D19" s="11">
        <v>0.804765672176667</v>
      </c>
      <c r="E19" s="13">
        <f t="shared" si="3"/>
        <v>6.11632291</v>
      </c>
      <c r="F19" s="14">
        <f t="shared" si="4"/>
        <v>0.7645403637</v>
      </c>
    </row>
    <row r="20">
      <c r="A20" s="8">
        <v>12.0</v>
      </c>
      <c r="B20" s="9">
        <v>1.0E8</v>
      </c>
      <c r="C20" s="10">
        <v>0.3862811005</v>
      </c>
      <c r="D20" s="11">
        <v>0.804767244973333</v>
      </c>
      <c r="E20" s="13">
        <f t="shared" si="3"/>
        <v>6.775202535</v>
      </c>
      <c r="F20" s="14">
        <f t="shared" si="4"/>
        <v>0.5646002113</v>
      </c>
    </row>
    <row r="21" ht="15.75" customHeight="1">
      <c r="A21" s="8">
        <v>16.0</v>
      </c>
      <c r="B21" s="9">
        <v>1.0E8</v>
      </c>
      <c r="C21" s="10">
        <v>0.3407978175</v>
      </c>
      <c r="D21" s="11">
        <v>0.804779385693333</v>
      </c>
      <c r="E21" s="13">
        <f t="shared" si="3"/>
        <v>7.679429143</v>
      </c>
      <c r="F21" s="14">
        <f t="shared" si="4"/>
        <v>0.4799643214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4.0"/>
    <col customWidth="1" min="4" max="4" width="17.0"/>
    <col customWidth="1" min="5" max="6" width="12.0"/>
    <col customWidth="1" min="7" max="26" width="8.71"/>
  </cols>
  <sheetData>
    <row r="1">
      <c r="A1" s="1" t="s">
        <v>25</v>
      </c>
    </row>
    <row r="2">
      <c r="A2" s="2"/>
    </row>
    <row r="4">
      <c r="A4" s="5" t="s">
        <v>5</v>
      </c>
    </row>
    <row r="5" ht="31.5" customHeight="1">
      <c r="A5" s="6" t="s">
        <v>6</v>
      </c>
      <c r="B5" s="6" t="s">
        <v>7</v>
      </c>
      <c r="C5" s="6" t="s">
        <v>8</v>
      </c>
      <c r="D5" s="6" t="s">
        <v>9</v>
      </c>
      <c r="E5" s="6" t="s">
        <v>18</v>
      </c>
      <c r="F5" s="6" t="s">
        <v>19</v>
      </c>
    </row>
    <row r="6">
      <c r="A6" s="8">
        <v>1.0</v>
      </c>
      <c r="B6" s="9">
        <v>1.0E9</v>
      </c>
      <c r="C6" s="10">
        <v>10.1722982705</v>
      </c>
      <c r="D6" s="11">
        <v>0.882082398476667</v>
      </c>
      <c r="E6" s="13">
        <f t="shared" ref="E6:E11" si="1">$C$6/C6</f>
        <v>1</v>
      </c>
      <c r="F6" s="14">
        <f t="shared" ref="F6:F11" si="2">E6/A6</f>
        <v>1</v>
      </c>
    </row>
    <row r="7">
      <c r="A7" s="8">
        <v>2.0</v>
      </c>
      <c r="B7" s="9">
        <v>1.0E9</v>
      </c>
      <c r="C7" s="10">
        <v>5.319886576</v>
      </c>
      <c r="D7" s="11">
        <v>0.88207933655</v>
      </c>
      <c r="E7" s="13">
        <f t="shared" si="1"/>
        <v>1.912126908</v>
      </c>
      <c r="F7" s="14">
        <f t="shared" si="2"/>
        <v>0.9560634541</v>
      </c>
    </row>
    <row r="8">
      <c r="A8" s="8">
        <v>4.0</v>
      </c>
      <c r="B8" s="9">
        <v>1.0E9</v>
      </c>
      <c r="C8" s="10">
        <v>3.0209700735</v>
      </c>
      <c r="D8" s="11">
        <v>0.882074173506667</v>
      </c>
      <c r="E8" s="13">
        <f t="shared" si="1"/>
        <v>3.367229076</v>
      </c>
      <c r="F8" s="14">
        <f t="shared" si="2"/>
        <v>0.8418072691</v>
      </c>
    </row>
    <row r="9">
      <c r="A9" s="8">
        <v>8.0</v>
      </c>
      <c r="B9" s="9">
        <v>1.0E9</v>
      </c>
      <c r="C9" s="10">
        <v>1.7449357395</v>
      </c>
      <c r="D9" s="11">
        <v>0.882086618653333</v>
      </c>
      <c r="E9" s="13">
        <f t="shared" si="1"/>
        <v>5.829611968</v>
      </c>
      <c r="F9" s="14">
        <f t="shared" si="2"/>
        <v>0.728701496</v>
      </c>
    </row>
    <row r="10">
      <c r="A10" s="8">
        <v>12.0</v>
      </c>
      <c r="B10" s="9">
        <v>1.0E9</v>
      </c>
      <c r="C10" s="10">
        <v>2.284145098</v>
      </c>
      <c r="D10" s="11">
        <v>0.88207867014</v>
      </c>
      <c r="E10" s="13">
        <f t="shared" si="1"/>
        <v>4.453437866</v>
      </c>
      <c r="F10" s="14">
        <f t="shared" si="2"/>
        <v>0.3711198222</v>
      </c>
    </row>
    <row r="11">
      <c r="A11" s="8">
        <v>16.0</v>
      </c>
      <c r="B11" s="9">
        <v>1.0E9</v>
      </c>
      <c r="C11" s="10">
        <v>1.926481137</v>
      </c>
      <c r="D11" s="11">
        <v>0.882086358076667</v>
      </c>
      <c r="E11" s="13">
        <f t="shared" si="1"/>
        <v>5.280248052</v>
      </c>
      <c r="F11" s="14">
        <f t="shared" si="2"/>
        <v>0.3300155032</v>
      </c>
    </row>
    <row r="14">
      <c r="A14" s="5" t="s">
        <v>11</v>
      </c>
    </row>
    <row r="15">
      <c r="A15" s="6" t="s">
        <v>6</v>
      </c>
      <c r="B15" s="6" t="s">
        <v>7</v>
      </c>
      <c r="C15" s="6" t="s">
        <v>8</v>
      </c>
      <c r="D15" s="6" t="s">
        <v>9</v>
      </c>
      <c r="E15" s="6" t="s">
        <v>18</v>
      </c>
      <c r="F15" s="6" t="s">
        <v>19</v>
      </c>
    </row>
    <row r="16">
      <c r="A16" s="8">
        <v>1.0</v>
      </c>
      <c r="B16" s="9">
        <v>1.0E9</v>
      </c>
      <c r="C16" s="10">
        <v>26.230971862</v>
      </c>
      <c r="D16" s="11">
        <v>0.80478484599</v>
      </c>
      <c r="E16" s="13">
        <f t="shared" ref="E16:E21" si="3">$C$16/C16</f>
        <v>1</v>
      </c>
      <c r="F16" s="14">
        <f t="shared" ref="F16:F21" si="4">E16/A16</f>
        <v>1</v>
      </c>
    </row>
    <row r="17">
      <c r="A17" s="8">
        <v>2.0</v>
      </c>
      <c r="B17" s="9">
        <v>1.0E9</v>
      </c>
      <c r="C17" s="10">
        <v>13.703932071</v>
      </c>
      <c r="D17" s="11">
        <v>0.804773802626667</v>
      </c>
      <c r="E17" s="13">
        <f t="shared" si="3"/>
        <v>1.914120103</v>
      </c>
      <c r="F17" s="14">
        <f t="shared" si="4"/>
        <v>0.9570600513</v>
      </c>
    </row>
    <row r="18">
      <c r="A18" s="8">
        <v>4.0</v>
      </c>
      <c r="B18" s="9">
        <v>1.0E9</v>
      </c>
      <c r="C18" s="10">
        <v>7.6453305675</v>
      </c>
      <c r="D18" s="11">
        <v>0.804778152526667</v>
      </c>
      <c r="E18" s="13">
        <f t="shared" si="3"/>
        <v>3.430979423</v>
      </c>
      <c r="F18" s="14">
        <f t="shared" si="4"/>
        <v>0.8577448558</v>
      </c>
    </row>
    <row r="19">
      <c r="A19" s="8">
        <v>8.0</v>
      </c>
      <c r="B19" s="9">
        <v>1.0E9</v>
      </c>
      <c r="C19" s="10">
        <v>4.346741741</v>
      </c>
      <c r="D19" s="11">
        <v>0.804778519513333</v>
      </c>
      <c r="E19" s="13">
        <f t="shared" si="3"/>
        <v>6.034628562</v>
      </c>
      <c r="F19" s="14">
        <f t="shared" si="4"/>
        <v>0.7543285703</v>
      </c>
    </row>
    <row r="20">
      <c r="A20" s="8">
        <v>12.0</v>
      </c>
      <c r="B20" s="9">
        <v>1.0E9</v>
      </c>
      <c r="C20" s="10">
        <v>4.1331954655</v>
      </c>
      <c r="D20" s="11">
        <v>0.804770783946667</v>
      </c>
      <c r="E20" s="13">
        <f t="shared" si="3"/>
        <v>6.346414555</v>
      </c>
      <c r="F20" s="14">
        <f t="shared" si="4"/>
        <v>0.5288678796</v>
      </c>
    </row>
    <row r="21" ht="15.75" customHeight="1">
      <c r="A21" s="8">
        <v>16.0</v>
      </c>
      <c r="B21" s="9">
        <v>1.0E9</v>
      </c>
      <c r="C21" s="10">
        <v>3.4294838255</v>
      </c>
      <c r="D21" s="11">
        <v>0.80477712385</v>
      </c>
      <c r="E21" s="13">
        <f t="shared" si="3"/>
        <v>7.648664696</v>
      </c>
      <c r="F21" s="14">
        <f t="shared" si="4"/>
        <v>0.4780415435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